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atro1\users\nenser\documents\"/>
    </mc:Choice>
  </mc:AlternateContent>
  <bookViews>
    <workbookView xWindow="0" yWindow="0" windowWidth="21570" windowHeight="8175"/>
  </bookViews>
  <sheets>
    <sheet name="Using VLOOKUP" sheetId="10" r:id="rId1"/>
    <sheet name="Exam Instructions" sheetId="1" r:id="rId2"/>
    <sheet name="Problem A" sheetId="5" r:id="rId3"/>
    <sheet name="Problem B" sheetId="2" r:id="rId4"/>
    <sheet name="Problem C XC" sheetId="6" r:id="rId5"/>
    <sheet name="Grading" sheetId="9" r:id="rId6"/>
    <sheet name="Key" sheetId="7" state="hidden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10" l="1"/>
  <c r="H9" i="7" l="1"/>
  <c r="D9" i="9" s="1"/>
  <c r="D36" i="9"/>
  <c r="D37" i="9"/>
  <c r="D38" i="9"/>
  <c r="D35" i="9"/>
  <c r="H23" i="9"/>
  <c r="H24" i="9"/>
  <c r="H25" i="9"/>
  <c r="H26" i="9"/>
  <c r="H27" i="9"/>
  <c r="H28" i="9"/>
  <c r="H29" i="9"/>
  <c r="H30" i="9"/>
  <c r="H31" i="9"/>
  <c r="H22" i="9"/>
  <c r="F23" i="9"/>
  <c r="F24" i="9"/>
  <c r="F25" i="9"/>
  <c r="F26" i="9"/>
  <c r="F27" i="9"/>
  <c r="F28" i="9"/>
  <c r="F29" i="9"/>
  <c r="F30" i="9"/>
  <c r="F31" i="9"/>
  <c r="F22" i="9"/>
  <c r="D10" i="9"/>
  <c r="D11" i="9"/>
  <c r="D12" i="9"/>
  <c r="D13" i="9"/>
  <c r="D14" i="9"/>
  <c r="D15" i="9"/>
  <c r="D16" i="9"/>
  <c r="D17" i="9"/>
  <c r="D18" i="9"/>
  <c r="J35" i="7" l="1"/>
  <c r="L35" i="7" s="1"/>
  <c r="E35" i="9" s="1"/>
  <c r="J13" i="7"/>
  <c r="L13" i="7" s="1"/>
  <c r="E13" i="9" s="1"/>
  <c r="J17" i="7"/>
  <c r="L17" i="7" s="1"/>
  <c r="E17" i="9" s="1"/>
  <c r="J9" i="7"/>
  <c r="L9" i="7" s="1"/>
  <c r="E9" i="9" s="1"/>
  <c r="H36" i="7"/>
  <c r="J36" i="7" s="1"/>
  <c r="L36" i="7" s="1"/>
  <c r="E36" i="9" s="1"/>
  <c r="H37" i="7"/>
  <c r="J37" i="7" s="1"/>
  <c r="L37" i="7" s="1"/>
  <c r="E37" i="9" s="1"/>
  <c r="H38" i="7"/>
  <c r="J38" i="7" s="1"/>
  <c r="L38" i="7" s="1"/>
  <c r="E38" i="9" s="1"/>
  <c r="H35" i="7"/>
  <c r="H10" i="7"/>
  <c r="J10" i="7" s="1"/>
  <c r="L10" i="7" s="1"/>
  <c r="E10" i="9" s="1"/>
  <c r="H11" i="7"/>
  <c r="J11" i="7" s="1"/>
  <c r="L11" i="7" s="1"/>
  <c r="E11" i="9" s="1"/>
  <c r="H12" i="7"/>
  <c r="J12" i="7" s="1"/>
  <c r="L12" i="7" s="1"/>
  <c r="E12" i="9" s="1"/>
  <c r="H13" i="7"/>
  <c r="H14" i="7"/>
  <c r="J14" i="7" s="1"/>
  <c r="L14" i="7" s="1"/>
  <c r="E14" i="9" s="1"/>
  <c r="H15" i="7"/>
  <c r="J15" i="7" s="1"/>
  <c r="L15" i="7" s="1"/>
  <c r="E15" i="9" s="1"/>
  <c r="H16" i="7"/>
  <c r="J16" i="7" s="1"/>
  <c r="L16" i="7" s="1"/>
  <c r="E16" i="9" s="1"/>
  <c r="H17" i="7"/>
  <c r="H18" i="7"/>
  <c r="J18" i="7" s="1"/>
  <c r="L18" i="7" s="1"/>
  <c r="E18" i="9" s="1"/>
  <c r="I24" i="7"/>
  <c r="H24" i="7"/>
  <c r="D5" i="9" l="1"/>
  <c r="H5" i="9" s="1"/>
  <c r="K24" i="7"/>
  <c r="M24" i="7" s="1"/>
  <c r="I24" i="9" s="1"/>
  <c r="J24" i="7"/>
  <c r="L24" i="7" s="1"/>
  <c r="G24" i="9" s="1"/>
  <c r="E3" i="1"/>
  <c r="I23" i="7" l="1"/>
  <c r="H23" i="7"/>
  <c r="I28" i="7"/>
  <c r="H28" i="7"/>
  <c r="I25" i="7"/>
  <c r="H25" i="7"/>
  <c r="H29" i="7"/>
  <c r="I29" i="7"/>
  <c r="H26" i="7"/>
  <c r="I26" i="7"/>
  <c r="H30" i="7"/>
  <c r="I30" i="7"/>
  <c r="I22" i="7"/>
  <c r="H22" i="7"/>
  <c r="I27" i="7"/>
  <c r="H27" i="7"/>
  <c r="I31" i="7"/>
  <c r="H31" i="7"/>
  <c r="J27" i="7" l="1"/>
  <c r="L27" i="7" s="1"/>
  <c r="G27" i="9" s="1"/>
  <c r="K30" i="7"/>
  <c r="M30" i="7" s="1"/>
  <c r="I30" i="9" s="1"/>
  <c r="K29" i="7"/>
  <c r="M29" i="7" s="1"/>
  <c r="I29" i="9" s="1"/>
  <c r="J28" i="7"/>
  <c r="L28" i="7" s="1"/>
  <c r="G28" i="9" s="1"/>
  <c r="K27" i="7"/>
  <c r="M27" i="7" s="1"/>
  <c r="I27" i="9" s="1"/>
  <c r="J30" i="7"/>
  <c r="L30" i="7" s="1"/>
  <c r="G30" i="9" s="1"/>
  <c r="J29" i="7"/>
  <c r="L29" i="7" s="1"/>
  <c r="G29" i="9" s="1"/>
  <c r="K28" i="7"/>
  <c r="M28" i="7" s="1"/>
  <c r="I28" i="9" s="1"/>
  <c r="J31" i="7"/>
  <c r="L31" i="7" s="1"/>
  <c r="G31" i="9" s="1"/>
  <c r="J22" i="7"/>
  <c r="L22" i="7" s="1"/>
  <c r="G22" i="9" s="1"/>
  <c r="K26" i="7"/>
  <c r="M26" i="7" s="1"/>
  <c r="I26" i="9" s="1"/>
  <c r="J25" i="7"/>
  <c r="L25" i="7" s="1"/>
  <c r="G25" i="9" s="1"/>
  <c r="J23" i="7"/>
  <c r="L23" i="7" s="1"/>
  <c r="G23" i="9" s="1"/>
  <c r="K31" i="7"/>
  <c r="M31" i="7" s="1"/>
  <c r="I31" i="9" s="1"/>
  <c r="K22" i="7"/>
  <c r="M22" i="7" s="1"/>
  <c r="I22" i="9" s="1"/>
  <c r="J26" i="7"/>
  <c r="L26" i="7" s="1"/>
  <c r="G26" i="9" s="1"/>
  <c r="K25" i="7"/>
  <c r="M25" i="7" s="1"/>
  <c r="I25" i="9" s="1"/>
  <c r="K23" i="7"/>
  <c r="M23" i="7" s="1"/>
  <c r="I23" i="9" s="1"/>
  <c r="D4" i="9" l="1"/>
  <c r="H4" i="9" s="1"/>
</calcChain>
</file>

<file path=xl/sharedStrings.xml><?xml version="1.0" encoding="utf-8"?>
<sst xmlns="http://schemas.openxmlformats.org/spreadsheetml/2006/main" count="676" uniqueCount="221">
  <si>
    <t>Welcome to the Excel Examination</t>
  </si>
  <si>
    <t>Subject: VLOOKUPS</t>
  </si>
  <si>
    <t xml:space="preserve">This examination consists of 3 problems </t>
  </si>
  <si>
    <t>Problems A and B are focused on solving questions using VLOOKUP</t>
  </si>
  <si>
    <t>Problem C is Extra Credit and focuses on solving questions using HLOOKUP</t>
  </si>
  <si>
    <t>Problem A</t>
  </si>
  <si>
    <t>Table 1</t>
  </si>
  <si>
    <t>Name</t>
  </si>
  <si>
    <t>Age</t>
  </si>
  <si>
    <t>City</t>
  </si>
  <si>
    <t>Account</t>
  </si>
  <si>
    <t>Status</t>
  </si>
  <si>
    <t>Paloma Hopper</t>
  </si>
  <si>
    <t>Brodie Flowers</t>
  </si>
  <si>
    <t>Hamish Marriott</t>
  </si>
  <si>
    <t>Weronika Jones</t>
  </si>
  <si>
    <t>Joss Sweet</t>
  </si>
  <si>
    <t>Atlas Allen</t>
  </si>
  <si>
    <t>Aviana Downs</t>
  </si>
  <si>
    <t>Madelaine Roberson</t>
  </si>
  <si>
    <t>Tiffany Peacock</t>
  </si>
  <si>
    <t>Layla-Rose Hammond</t>
  </si>
  <si>
    <t>Noor Conrad</t>
  </si>
  <si>
    <t>Huma Jacobs</t>
  </si>
  <si>
    <t>Yasmeen Hanson</t>
  </si>
  <si>
    <t>Tiya Sanders</t>
  </si>
  <si>
    <t>Carl Kinney</t>
  </si>
  <si>
    <t>Bryson Dyer</t>
  </si>
  <si>
    <t>Ruqayyah Mendoza</t>
  </si>
  <si>
    <t>Vinay Waller</t>
  </si>
  <si>
    <t>May Guerra</t>
  </si>
  <si>
    <t>Cari Penn</t>
  </si>
  <si>
    <t>Delilah Handley</t>
  </si>
  <si>
    <t>Francisco Sanford</t>
  </si>
  <si>
    <t>Maya Moyer</t>
  </si>
  <si>
    <t>Niyah Hodson</t>
  </si>
  <si>
    <t>Marcos Barnard</t>
  </si>
  <si>
    <t>Susan Donovan</t>
  </si>
  <si>
    <t>Damien Fitzpatrick</t>
  </si>
  <si>
    <t>Reanna Davis</t>
  </si>
  <si>
    <t>Giuseppe Hanna</t>
  </si>
  <si>
    <t>Simra Clay</t>
  </si>
  <si>
    <t>Elli Steele</t>
  </si>
  <si>
    <t>Aston Nicholson</t>
  </si>
  <si>
    <t>Lilia Chung</t>
  </si>
  <si>
    <t>Uzma Bernal</t>
  </si>
  <si>
    <t>Kourtney Dickerson</t>
  </si>
  <si>
    <t>Abdirahman Barrett</t>
  </si>
  <si>
    <t>Montana Brown</t>
  </si>
  <si>
    <t>Ela Rossi</t>
  </si>
  <si>
    <t>Maddison Knox</t>
  </si>
  <si>
    <t>Leighton Levine</t>
  </si>
  <si>
    <t>Agatha Joyner</t>
  </si>
  <si>
    <t>Roan Duncan</t>
  </si>
  <si>
    <t>Ayda Sutherland</t>
  </si>
  <si>
    <t>Franklyn Derrick</t>
  </si>
  <si>
    <t>Eliot Bryan</t>
  </si>
  <si>
    <t>Monty Irwin</t>
  </si>
  <si>
    <t>Chay Nieves</t>
  </si>
  <si>
    <t>Jaylen Osborn</t>
  </si>
  <si>
    <t>Salim Blankenship</t>
  </si>
  <si>
    <t>Gracie-May Gilliam</t>
  </si>
  <si>
    <t>Dallas</t>
  </si>
  <si>
    <t>Omaha</t>
  </si>
  <si>
    <t>Orlando</t>
  </si>
  <si>
    <t>Boston</t>
  </si>
  <si>
    <t>Boise</t>
  </si>
  <si>
    <t>Long Beach</t>
  </si>
  <si>
    <t>San Antonio</t>
  </si>
  <si>
    <t>Albuquerque</t>
  </si>
  <si>
    <t>San Jose</t>
  </si>
  <si>
    <t>Memphis</t>
  </si>
  <si>
    <t>Miami</t>
  </si>
  <si>
    <t>Tampa</t>
  </si>
  <si>
    <t>Cincinnati</t>
  </si>
  <si>
    <t>Wichita</t>
  </si>
  <si>
    <t>Huntington</t>
  </si>
  <si>
    <t>Scottsdale</t>
  </si>
  <si>
    <t>Oklhoma City</t>
  </si>
  <si>
    <t>San Bernardino</t>
  </si>
  <si>
    <t>Portland</t>
  </si>
  <si>
    <t>Virginia Beach</t>
  </si>
  <si>
    <t>Oakland</t>
  </si>
  <si>
    <t>Baltimore</t>
  </si>
  <si>
    <t>Corpus Christi</t>
  </si>
  <si>
    <t>St. Louis</t>
  </si>
  <si>
    <t>Indianapolis</t>
  </si>
  <si>
    <t>Henderson</t>
  </si>
  <si>
    <t>St. Paul</t>
  </si>
  <si>
    <t>Norfolk</t>
  </si>
  <si>
    <t>Rochester</t>
  </si>
  <si>
    <t>Kanasa City</t>
  </si>
  <si>
    <t>Garland</t>
  </si>
  <si>
    <t>New York</t>
  </si>
  <si>
    <t>Riverside</t>
  </si>
  <si>
    <t>Hialeah</t>
  </si>
  <si>
    <t>Chicago</t>
  </si>
  <si>
    <t>Laredo</t>
  </si>
  <si>
    <t>Buffalo</t>
  </si>
  <si>
    <t>Arlington</t>
  </si>
  <si>
    <t>San Francisco</t>
  </si>
  <si>
    <t>Columbus</t>
  </si>
  <si>
    <t>Chesapeake</t>
  </si>
  <si>
    <t>New Orleans</t>
  </si>
  <si>
    <t>Lincoln</t>
  </si>
  <si>
    <t>Santa Ana</t>
  </si>
  <si>
    <t>Nashville</t>
  </si>
  <si>
    <t>St. Petersburg</t>
  </si>
  <si>
    <t>Los Angeles</t>
  </si>
  <si>
    <t>Anchorage</t>
  </si>
  <si>
    <t>Toledo</t>
  </si>
  <si>
    <t>Plano</t>
  </si>
  <si>
    <t>59-582203-12</t>
  </si>
  <si>
    <t>98-516954-30</t>
  </si>
  <si>
    <t>44-416486-10</t>
  </si>
  <si>
    <t>45-114477-13</t>
  </si>
  <si>
    <t>67-834943-20</t>
  </si>
  <si>
    <t>91-256937-23</t>
  </si>
  <si>
    <t>67-534601-29</t>
  </si>
  <si>
    <t>89-198961-17</t>
  </si>
  <si>
    <t>86-737486-28</t>
  </si>
  <si>
    <t>30-630489-18</t>
  </si>
  <si>
    <t>20-721640-26</t>
  </si>
  <si>
    <t>72-867771-24</t>
  </si>
  <si>
    <t>30-622822-22</t>
  </si>
  <si>
    <t>90-260909-13</t>
  </si>
  <si>
    <t>24-638749-19</t>
  </si>
  <si>
    <t>94-667649-10</t>
  </si>
  <si>
    <t>69-693171-10</t>
  </si>
  <si>
    <t>33-268147-22</t>
  </si>
  <si>
    <t>36-345071-11</t>
  </si>
  <si>
    <t>67-508218-11</t>
  </si>
  <si>
    <t>67-165127-19</t>
  </si>
  <si>
    <t>32-484409-21</t>
  </si>
  <si>
    <t>88-412139-22</t>
  </si>
  <si>
    <t>10-149212-14</t>
  </si>
  <si>
    <t>34-393084-27</t>
  </si>
  <si>
    <t>46-391851-13</t>
  </si>
  <si>
    <t>28-158327-17</t>
  </si>
  <si>
    <t>49-282842-27</t>
  </si>
  <si>
    <t>97-819457-14</t>
  </si>
  <si>
    <t>79-145899-14</t>
  </si>
  <si>
    <t>83-429592-12</t>
  </si>
  <si>
    <t>54-133786-15</t>
  </si>
  <si>
    <t>37-256397-19</t>
  </si>
  <si>
    <t>47-918599-19</t>
  </si>
  <si>
    <t>64-552855-29</t>
  </si>
  <si>
    <t>86-427706-26</t>
  </si>
  <si>
    <t>41-737582-16</t>
  </si>
  <si>
    <t>22-649669-30</t>
  </si>
  <si>
    <t>68-991685-16</t>
  </si>
  <si>
    <t>57-241206-27</t>
  </si>
  <si>
    <t>51-713796-23</t>
  </si>
  <si>
    <t>10-671107-17</t>
  </si>
  <si>
    <t>66-824289-19</t>
  </si>
  <si>
    <t>56-401724-25</t>
  </si>
  <si>
    <t>80-180114-26</t>
  </si>
  <si>
    <t>30-765390-29</t>
  </si>
  <si>
    <t>77-315664-10</t>
  </si>
  <si>
    <t>44-273523-19</t>
  </si>
  <si>
    <t>17-453171-16</t>
  </si>
  <si>
    <t>71-591301-30</t>
  </si>
  <si>
    <t>Open</t>
  </si>
  <si>
    <t>Closed</t>
  </si>
  <si>
    <t>Table 2</t>
  </si>
  <si>
    <t>ID</t>
  </si>
  <si>
    <t>Verified</t>
  </si>
  <si>
    <t>Y</t>
  </si>
  <si>
    <t>N</t>
  </si>
  <si>
    <t>Problem B</t>
  </si>
  <si>
    <t xml:space="preserve">Adjust any columns of information if necessary </t>
  </si>
  <si>
    <t>Grading</t>
  </si>
  <si>
    <t>Problem C</t>
  </si>
  <si>
    <t>ANSWER</t>
  </si>
  <si>
    <t>CORRECT?</t>
  </si>
  <si>
    <t>Key</t>
  </si>
  <si>
    <t>C1</t>
  </si>
  <si>
    <t>C2</t>
  </si>
  <si>
    <t>/</t>
  </si>
  <si>
    <t>Exam</t>
  </si>
  <si>
    <t>Extra Credit</t>
  </si>
  <si>
    <t>Problem C XC</t>
  </si>
  <si>
    <t>Enser v1</t>
  </si>
  <si>
    <t>Using VLOOKUP, find the account numbers in Table 1 that correspond to their owners in Table 2</t>
  </si>
  <si>
    <t>Using VLOOKUP, find the account numbers and status in Table 1 that correspond to their owners in Table 2</t>
  </si>
  <si>
    <t>Using HLOOKUP, find the name in Table 1 that correspond to the account number in Table 2</t>
  </si>
  <si>
    <t>What is a VLOOKUP?</t>
  </si>
  <si>
    <t>VLOOKUP is a built-in Excel formula that allows you to look for something (such as a value) in a range</t>
  </si>
  <si>
    <t xml:space="preserve">of cells, and returns something that is in the same row as the value you are looking for. </t>
  </si>
  <si>
    <t>=VLOOKUP(lookup_value,table_array,col_index_num,[range_lookup])</t>
  </si>
  <si>
    <t>What are you looking for?</t>
  </si>
  <si>
    <t>Where are you looking?</t>
  </si>
  <si>
    <t>What do you want to return?</t>
  </si>
  <si>
    <t>Exact or approx match?</t>
  </si>
  <si>
    <t>Table A</t>
  </si>
  <si>
    <t>Item#</t>
  </si>
  <si>
    <t>Item</t>
  </si>
  <si>
    <t>Qty</t>
  </si>
  <si>
    <t>Apple</t>
  </si>
  <si>
    <t>Pear</t>
  </si>
  <si>
    <t>Orange</t>
  </si>
  <si>
    <t>Grape</t>
  </si>
  <si>
    <t>Example:</t>
  </si>
  <si>
    <t>The formula that should be used is:</t>
  </si>
  <si>
    <t>Table B</t>
  </si>
  <si>
    <t>Given the below Table A, you are looking for the Quantity of Pears which can be found in Table B</t>
  </si>
  <si>
    <t xml:space="preserve">Entering this into cell D32 will return the value 11, which is the quantity of pears </t>
  </si>
  <si>
    <t>Things to remember when using VLOOKUP</t>
  </si>
  <si>
    <t>=VLOOKUP(C32,$I$31:$J$34,2,FALSE)</t>
  </si>
  <si>
    <t>The value that you are looking for needs to be in the first column of the range (table_array)</t>
  </si>
  <si>
    <t>If selecting a range of cells and copying the formula, be sure to use locked references ($$) on your range</t>
  </si>
  <si>
    <t>You can select entire columns as your range (Ex, I:J instead of $I$31:$J$34)</t>
  </si>
  <si>
    <t xml:space="preserve">If numbers are stored as text, the formula may return a #N/A value. </t>
  </si>
  <si>
    <t xml:space="preserve">(the value that is the </t>
  </si>
  <si>
    <t>same in both tables)</t>
  </si>
  <si>
    <t>(the range that has all</t>
  </si>
  <si>
    <t>the information)</t>
  </si>
  <si>
    <t>(starting with 1, how many columns in</t>
  </si>
  <si>
    <t xml:space="preserve">your range until you get to the column for the </t>
  </si>
  <si>
    <t>value you want returned)</t>
  </si>
  <si>
    <t>(always select FALSE. TRUE can return skewed or inaccurate results)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</si>
</sst>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14">
    <xf numFmtId="0" fontId="0" fillId="0" borderId="0" xfId="0"/>
    <xf numFmtId="0" fontId="1" fillId="0" borderId="0" xfId="0" applyFont="1"/>
    <xf numFmtId="0" fontId="2" fillId="0" borderId="0" xfId="0" applyFont="1"/>
    <xf numFmtId="164" fontId="1" fillId="0" borderId="0" xfId="0" applyNumberFormat="1" applyFont="1"/>
    <xf numFmtId="0" fontId="1" fillId="3" borderId="0" xfId="0" applyFont="1" applyFill="1"/>
    <xf numFmtId="0" fontId="0" fillId="3" borderId="0" xfId="0" applyFill="1"/>
    <xf numFmtId="0" fontId="0" fillId="0" borderId="1" xfId="0" applyBorder="1" applyAlignment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0" fillId="4" borderId="4" xfId="0" applyFill="1" applyBorder="1" applyProtection="1">
      <protection locked="0"/>
    </xf>
    <xf numFmtId="0" fontId="0" fillId="0" borderId="4" xfId="0" applyBorder="1" applyAlignment="1">
      <alignment horizontal="center"/>
    </xf>
    <xf numFmtId="0" fontId="0" fillId="0" borderId="5" xfId="0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6" xfId="0" applyFont="1" applyFill="1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0" xfId="0" applyFill="1" applyBorder="1" applyProtection="1">
      <protection locked="0"/>
    </xf>
    <xf numFmtId="0" fontId="1" fillId="3" borderId="0" xfId="0" applyFont="1" applyFill="1" applyProtection="1"/>
    <xf numFmtId="0" fontId="0" fillId="3" borderId="0" xfId="0" applyFill="1" applyProtection="1"/>
    <xf numFmtId="0" fontId="0" fillId="0" borderId="0" xfId="0" applyProtection="1"/>
    <xf numFmtId="0" fontId="1" fillId="0" borderId="0" xfId="0" applyFont="1" applyProtection="1"/>
    <xf numFmtId="0" fontId="1" fillId="2" borderId="6" xfId="0" applyFont="1" applyFill="1" applyBorder="1" applyProtection="1"/>
    <xf numFmtId="0" fontId="1" fillId="2" borderId="7" xfId="0" applyFont="1" applyFill="1" applyBorder="1" applyProtection="1"/>
    <xf numFmtId="0" fontId="1" fillId="2" borderId="8" xfId="0" applyFont="1" applyFill="1" applyBorder="1" applyProtection="1"/>
    <xf numFmtId="0" fontId="1" fillId="2" borderId="6" xfId="0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0" fillId="0" borderId="2" xfId="0" applyBorder="1" applyProtection="1"/>
    <xf numFmtId="0" fontId="0" fillId="0" borderId="1" xfId="0" applyBorder="1" applyAlignment="1" applyProtection="1">
      <alignment horizontal="center"/>
    </xf>
    <xf numFmtId="0" fontId="0" fillId="0" borderId="0" xfId="0" applyFill="1" applyBorder="1" applyProtection="1"/>
    <xf numFmtId="0" fontId="0" fillId="0" borderId="3" xfId="0" applyBorder="1" applyAlignment="1" applyProtection="1">
      <alignment horizontal="center"/>
    </xf>
    <xf numFmtId="0" fontId="0" fillId="0" borderId="4" xfId="0" applyFill="1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4" borderId="0" xfId="0" applyFill="1" applyBorder="1" applyAlignment="1" applyProtection="1">
      <alignment horizontal="center"/>
      <protection locked="0"/>
    </xf>
    <xf numFmtId="0" fontId="0" fillId="4" borderId="2" xfId="0" applyFill="1" applyBorder="1" applyProtection="1"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5" xfId="0" applyFill="1" applyBorder="1" applyProtection="1">
      <protection locked="0"/>
    </xf>
    <xf numFmtId="0" fontId="1" fillId="0" borderId="0" xfId="0" applyFont="1" applyFill="1" applyBorder="1" applyProtection="1"/>
    <xf numFmtId="0" fontId="0" fillId="0" borderId="0" xfId="0" applyFont="1" applyFill="1" applyBorder="1" applyAlignment="1" applyProtection="1">
      <alignment horizontal="left"/>
    </xf>
    <xf numFmtId="0" fontId="0" fillId="0" borderId="0" xfId="0" applyFont="1" applyBorder="1" applyAlignment="1" applyProtection="1">
      <alignment horizontal="left"/>
    </xf>
    <xf numFmtId="0" fontId="3" fillId="0" borderId="1" xfId="0" applyFont="1" applyFill="1" applyBorder="1" applyAlignment="1" applyProtection="1">
      <alignment horizontal="center"/>
      <protection locked="0"/>
    </xf>
    <xf numFmtId="0" fontId="3" fillId="0" borderId="3" xfId="0" applyFont="1" applyFill="1" applyBorder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left"/>
    </xf>
    <xf numFmtId="0" fontId="0" fillId="0" borderId="11" xfId="0" applyFont="1" applyFill="1" applyBorder="1" applyAlignment="1" applyProtection="1">
      <alignment horizontal="left"/>
    </xf>
    <xf numFmtId="0" fontId="0" fillId="0" borderId="2" xfId="0" applyFont="1" applyBorder="1" applyAlignment="1" applyProtection="1">
      <alignment horizontal="left"/>
    </xf>
    <xf numFmtId="0" fontId="0" fillId="0" borderId="4" xfId="0" applyFont="1" applyBorder="1" applyAlignment="1" applyProtection="1">
      <alignment horizontal="left"/>
    </xf>
    <xf numFmtId="0" fontId="0" fillId="0" borderId="5" xfId="0" applyFont="1" applyBorder="1" applyAlignment="1" applyProtection="1">
      <alignment horizontal="left"/>
    </xf>
    <xf numFmtId="0" fontId="1" fillId="2" borderId="12" xfId="0" applyFont="1" applyFill="1" applyBorder="1" applyProtection="1"/>
    <xf numFmtId="0" fontId="1" fillId="2" borderId="13" xfId="0" applyFont="1" applyFill="1" applyBorder="1" applyProtection="1"/>
    <xf numFmtId="0" fontId="1" fillId="2" borderId="14" xfId="0" applyFont="1" applyFill="1" applyBorder="1" applyProtection="1"/>
    <xf numFmtId="0" fontId="0" fillId="0" borderId="0" xfId="0" applyFill="1" applyProtection="1"/>
    <xf numFmtId="0" fontId="0" fillId="0" borderId="2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left"/>
    </xf>
    <xf numFmtId="0" fontId="0" fillId="5" borderId="0" xfId="0" applyFont="1" applyFill="1" applyBorder="1" applyAlignment="1" applyProtection="1">
      <alignment horizontal="left"/>
    </xf>
    <xf numFmtId="0" fontId="0" fillId="5" borderId="0" xfId="0" applyFill="1" applyBorder="1" applyProtection="1"/>
    <xf numFmtId="0" fontId="0" fillId="4" borderId="0" xfId="0" applyFont="1" applyFill="1" applyBorder="1" applyAlignment="1" applyProtection="1">
      <alignment horizontal="left"/>
    </xf>
    <xf numFmtId="0" fontId="0" fillId="4" borderId="0" xfId="0" applyFill="1" applyBorder="1" applyProtection="1"/>
    <xf numFmtId="0" fontId="1" fillId="0" borderId="9" xfId="0" applyFont="1" applyFill="1" applyBorder="1" applyAlignment="1" applyProtection="1">
      <alignment horizontal="left"/>
    </xf>
    <xf numFmtId="0" fontId="0" fillId="0" borderId="1" xfId="0" applyFont="1" applyFill="1" applyBorder="1" applyAlignment="1" applyProtection="1">
      <alignment horizontal="left"/>
    </xf>
    <xf numFmtId="0" fontId="0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2" xfId="0" applyFill="1" applyBorder="1" applyProtection="1"/>
    <xf numFmtId="0" fontId="0" fillId="0" borderId="3" xfId="0" applyFill="1" applyBorder="1" applyAlignment="1" applyProtection="1">
      <alignment horizontal="center"/>
    </xf>
    <xf numFmtId="0" fontId="0" fillId="4" borderId="4" xfId="0" applyFill="1" applyBorder="1" applyProtection="1"/>
    <xf numFmtId="0" fontId="0" fillId="0" borderId="5" xfId="0" applyFill="1" applyBorder="1" applyProtection="1"/>
    <xf numFmtId="0" fontId="0" fillId="0" borderId="10" xfId="0" applyFill="1" applyBorder="1" applyProtection="1"/>
    <xf numFmtId="0" fontId="0" fillId="0" borderId="11" xfId="0" applyFill="1" applyBorder="1" applyProtection="1"/>
    <xf numFmtId="0" fontId="1" fillId="0" borderId="9" xfId="0" applyFont="1" applyBorder="1" applyProtection="1"/>
    <xf numFmtId="0" fontId="0" fillId="0" borderId="10" xfId="0" applyBorder="1" applyProtection="1"/>
    <xf numFmtId="0" fontId="0" fillId="0" borderId="11" xfId="0" applyBorder="1" applyProtection="1"/>
    <xf numFmtId="0" fontId="5" fillId="0" borderId="0" xfId="0" applyFont="1" applyFill="1" applyBorder="1" applyAlignment="1" applyProtection="1">
      <alignment horizontal="right"/>
    </xf>
    <xf numFmtId="0" fontId="5" fillId="0" borderId="4" xfId="0" applyFont="1" applyFill="1" applyBorder="1" applyAlignment="1" applyProtection="1">
      <alignment horizontal="right"/>
    </xf>
    <xf numFmtId="0" fontId="5" fillId="0" borderId="0" xfId="0" applyFont="1" applyFill="1" applyBorder="1" applyProtection="1"/>
    <xf numFmtId="0" fontId="5" fillId="0" borderId="4" xfId="0" applyFont="1" applyFill="1" applyBorder="1" applyProtection="1"/>
    <xf numFmtId="0" fontId="5" fillId="0" borderId="2" xfId="0" applyFont="1" applyFill="1" applyBorder="1" applyProtection="1"/>
    <xf numFmtId="0" fontId="5" fillId="0" borderId="5" xfId="0" applyFont="1" applyFill="1" applyBorder="1" applyProtection="1"/>
    <xf numFmtId="1" fontId="1" fillId="0" borderId="0" xfId="0" applyNumberFormat="1" applyFont="1" applyAlignment="1" applyProtection="1">
      <alignment horizontal="left"/>
    </xf>
    <xf numFmtId="0" fontId="1" fillId="0" borderId="0" xfId="0" quotePrefix="1" applyFont="1" applyAlignment="1" applyProtection="1">
      <alignment horizontal="center"/>
    </xf>
    <xf numFmtId="10" fontId="6" fillId="0" borderId="0" xfId="1" applyNumberFormat="1" applyFont="1" applyAlignment="1" applyProtection="1">
      <alignment horizontal="center"/>
    </xf>
    <xf numFmtId="0" fontId="1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2" borderId="7" xfId="0" applyFont="1" applyFill="1" applyBorder="1" applyProtection="1">
      <protection locked="0"/>
    </xf>
    <xf numFmtId="0" fontId="1" fillId="2" borderId="6" xfId="0" applyFont="1" applyFill="1" applyBorder="1" applyProtection="1">
      <protection locked="0"/>
    </xf>
    <xf numFmtId="0" fontId="1" fillId="2" borderId="8" xfId="0" applyFont="1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Alignment="1" applyProtection="1">
      <alignment horizontal="right"/>
    </xf>
    <xf numFmtId="0" fontId="1" fillId="0" borderId="0" xfId="0" applyFont="1" applyAlignment="1" applyProtection="1">
      <alignment horizontal="left"/>
    </xf>
    <xf numFmtId="0" fontId="0" fillId="4" borderId="4" xfId="0" applyFont="1" applyFill="1" applyBorder="1" applyAlignment="1" applyProtection="1">
      <alignment horizontal="left"/>
    </xf>
    <xf numFmtId="0" fontId="7" fillId="0" borderId="0" xfId="0" applyFont="1"/>
    <xf numFmtId="0" fontId="9" fillId="0" borderId="0" xfId="0" quotePrefix="1" applyFont="1"/>
    <xf numFmtId="0" fontId="0" fillId="0" borderId="2" xfId="0" applyFill="1" applyBorder="1"/>
    <xf numFmtId="0" fontId="0" fillId="6" borderId="2" xfId="0" applyFill="1" applyBorder="1" applyProtection="1">
      <protection locked="0"/>
    </xf>
    <xf numFmtId="0" fontId="8" fillId="0" borderId="0" xfId="0" applyFont="1"/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333375</xdr:colOff>
      <xdr:row>18</xdr:row>
      <xdr:rowOff>47626</xdr:rowOff>
    </xdr:from>
    <xdr:to>
      <xdr:col>21</xdr:col>
      <xdr:colOff>0</xdr:colOff>
      <xdr:row>25</xdr:row>
      <xdr:rowOff>152401</xdr:rowOff>
    </xdr:to>
    <xdr:sp macro="" textlink="">
      <xdr:nvSpPr>
        <xdr:cNvPr id="15" name="Rectangle 14"/>
        <xdr:cNvSpPr/>
      </xdr:nvSpPr>
      <xdr:spPr>
        <a:xfrm>
          <a:off x="7038975" y="3581401"/>
          <a:ext cx="5762625" cy="154305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123825</xdr:colOff>
      <xdr:row>8</xdr:row>
      <xdr:rowOff>104775</xdr:rowOff>
    </xdr:from>
    <xdr:to>
      <xdr:col>4</xdr:col>
      <xdr:colOff>533400</xdr:colOff>
      <xdr:row>11</xdr:row>
      <xdr:rowOff>142875</xdr:rowOff>
    </xdr:to>
    <xdr:cxnSp macro="">
      <xdr:nvCxnSpPr>
        <xdr:cNvPr id="3" name="Straight Arrow Connector 2"/>
        <xdr:cNvCxnSpPr/>
      </xdr:nvCxnSpPr>
      <xdr:spPr>
        <a:xfrm flipV="1">
          <a:off x="1952625" y="1733550"/>
          <a:ext cx="1019175" cy="6096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8</xdr:row>
      <xdr:rowOff>28575</xdr:rowOff>
    </xdr:from>
    <xdr:to>
      <xdr:col>6</xdr:col>
      <xdr:colOff>552451</xdr:colOff>
      <xdr:row>12</xdr:row>
      <xdr:rowOff>133350</xdr:rowOff>
    </xdr:to>
    <xdr:cxnSp macro="">
      <xdr:nvCxnSpPr>
        <xdr:cNvPr id="4" name="Straight Arrow Connector 3"/>
        <xdr:cNvCxnSpPr/>
      </xdr:nvCxnSpPr>
      <xdr:spPr>
        <a:xfrm flipV="1">
          <a:off x="3790950" y="1657350"/>
          <a:ext cx="419101" cy="8667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133350</xdr:colOff>
      <xdr:row>8</xdr:row>
      <xdr:rowOff>95253</xdr:rowOff>
    </xdr:from>
    <xdr:to>
      <xdr:col>9</xdr:col>
      <xdr:colOff>228603</xdr:colOff>
      <xdr:row>12</xdr:row>
      <xdr:rowOff>66675</xdr:rowOff>
    </xdr:to>
    <xdr:cxnSp macro="">
      <xdr:nvCxnSpPr>
        <xdr:cNvPr id="6" name="Straight Arrow Connector 5"/>
        <xdr:cNvCxnSpPr/>
      </xdr:nvCxnSpPr>
      <xdr:spPr>
        <a:xfrm flipV="1">
          <a:off x="5619750" y="1724028"/>
          <a:ext cx="95253" cy="733422"/>
        </a:xfrm>
        <a:prstGeom prst="straightConnector1">
          <a:avLst/>
        </a:prstGeom>
        <a:ln>
          <a:tailEnd type="triangle"/>
        </a:ln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276228</xdr:colOff>
      <xdr:row>8</xdr:row>
      <xdr:rowOff>95253</xdr:rowOff>
    </xdr:from>
    <xdr:to>
      <xdr:col>12</xdr:col>
      <xdr:colOff>38100</xdr:colOff>
      <xdr:row>10</xdr:row>
      <xdr:rowOff>123825</xdr:rowOff>
    </xdr:to>
    <xdr:cxnSp macro="">
      <xdr:nvCxnSpPr>
        <xdr:cNvPr id="12" name="Straight Arrow Connector 11"/>
        <xdr:cNvCxnSpPr/>
      </xdr:nvCxnSpPr>
      <xdr:spPr>
        <a:xfrm flipH="1" flipV="1">
          <a:off x="6981828" y="1724028"/>
          <a:ext cx="371472" cy="409572"/>
        </a:xfrm>
        <a:prstGeom prst="straightConnector1">
          <a:avLst/>
        </a:prstGeom>
        <a:ln>
          <a:tailEnd type="triangle"/>
        </a:ln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438150</xdr:colOff>
      <xdr:row>18</xdr:row>
      <xdr:rowOff>95250</xdr:rowOff>
    </xdr:from>
    <xdr:to>
      <xdr:col>20</xdr:col>
      <xdr:colOff>561274</xdr:colOff>
      <xdr:row>25</xdr:row>
      <xdr:rowOff>123642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43750" y="3629025"/>
          <a:ext cx="5609524" cy="14666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</xdr:row>
          <xdr:rowOff>123825</xdr:rowOff>
        </xdr:from>
        <xdr:to>
          <xdr:col>18</xdr:col>
          <xdr:colOff>9525</xdr:colOff>
          <xdr:row>4</xdr:row>
          <xdr:rowOff>180975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9525</xdr:colOff>
      <xdr:row>5</xdr:row>
      <xdr:rowOff>62557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38325" cy="12246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17</xdr:row>
          <xdr:rowOff>171450</xdr:rowOff>
        </xdr:from>
        <xdr:to>
          <xdr:col>5</xdr:col>
          <xdr:colOff>0</xdr:colOff>
          <xdr:row>20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180975</xdr:rowOff>
        </xdr:from>
        <xdr:to>
          <xdr:col>9</xdr:col>
          <xdr:colOff>800100</xdr:colOff>
          <xdr:row>25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23</xdr:row>
          <xdr:rowOff>0</xdr:rowOff>
        </xdr:from>
        <xdr:to>
          <xdr:col>12</xdr:col>
          <xdr:colOff>0</xdr:colOff>
          <xdr:row>25</xdr:row>
          <xdr:rowOff>9525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180975</xdr:rowOff>
        </xdr:from>
        <xdr:to>
          <xdr:col>9</xdr:col>
          <xdr:colOff>790575</xdr:colOff>
          <xdr:row>25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22</xdr:row>
          <xdr:rowOff>180975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22</xdr:row>
          <xdr:rowOff>180975</xdr:rowOff>
        </xdr:from>
        <xdr:to>
          <xdr:col>9</xdr:col>
          <xdr:colOff>161925</xdr:colOff>
          <xdr:row>25</xdr:row>
          <xdr:rowOff>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971550</xdr:colOff>
          <xdr:row>23</xdr:row>
          <xdr:rowOff>9525</xdr:rowOff>
        </xdr:from>
        <xdr:to>
          <xdr:col>11</xdr:col>
          <xdr:colOff>342900</xdr:colOff>
          <xdr:row>25</xdr:row>
          <xdr:rowOff>19050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</xdr:row>
          <xdr:rowOff>104775</xdr:rowOff>
        </xdr:from>
        <xdr:to>
          <xdr:col>1</xdr:col>
          <xdr:colOff>914400</xdr:colOff>
          <xdr:row>4</xdr:row>
          <xdr:rowOff>104775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4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N34"/>
  <sheetViews>
    <sheetView showGridLines="0" tabSelected="1" workbookViewId="0"/>
  </sheetViews>
  <sheetFormatPr defaultRowHeight="15" x14ac:dyDescent="0.25"/>
  <sheetData>
    <row r="3" spans="2:13" x14ac:dyDescent="0.25">
      <c r="B3" s="1" t="s">
        <v>186</v>
      </c>
    </row>
    <row r="4" spans="2:13" x14ac:dyDescent="0.25">
      <c r="B4" t="s">
        <v>187</v>
      </c>
    </row>
    <row r="5" spans="2:13" x14ac:dyDescent="0.25">
      <c r="B5" t="s">
        <v>188</v>
      </c>
    </row>
    <row r="8" spans="2:13" ht="23.25" x14ac:dyDescent="0.35">
      <c r="C8" s="109" t="s">
        <v>189</v>
      </c>
    </row>
    <row r="12" spans="2:13" x14ac:dyDescent="0.25">
      <c r="M12" t="s">
        <v>193</v>
      </c>
    </row>
    <row r="13" spans="2:13" x14ac:dyDescent="0.25">
      <c r="C13" t="s">
        <v>190</v>
      </c>
      <c r="M13" s="112" t="s">
        <v>220</v>
      </c>
    </row>
    <row r="14" spans="2:13" x14ac:dyDescent="0.25">
      <c r="C14" s="112" t="s">
        <v>213</v>
      </c>
      <c r="F14" t="s">
        <v>191</v>
      </c>
      <c r="J14" t="s">
        <v>192</v>
      </c>
    </row>
    <row r="15" spans="2:13" x14ac:dyDescent="0.25">
      <c r="C15" s="112" t="s">
        <v>214</v>
      </c>
      <c r="F15" s="112" t="s">
        <v>215</v>
      </c>
      <c r="G15" s="112"/>
      <c r="H15" s="112"/>
      <c r="J15" s="112" t="s">
        <v>217</v>
      </c>
    </row>
    <row r="16" spans="2:13" x14ac:dyDescent="0.25">
      <c r="F16" s="112" t="s">
        <v>216</v>
      </c>
      <c r="G16" s="112"/>
      <c r="H16" s="112"/>
      <c r="J16" s="112" t="s">
        <v>218</v>
      </c>
    </row>
    <row r="17" spans="2:14" x14ac:dyDescent="0.25">
      <c r="J17" s="112" t="s">
        <v>219</v>
      </c>
    </row>
    <row r="18" spans="2:14" x14ac:dyDescent="0.25">
      <c r="B18" s="1" t="s">
        <v>202</v>
      </c>
    </row>
    <row r="19" spans="2:14" x14ac:dyDescent="0.25">
      <c r="B19" t="s">
        <v>205</v>
      </c>
    </row>
    <row r="20" spans="2:14" x14ac:dyDescent="0.25">
      <c r="B20" t="s">
        <v>203</v>
      </c>
    </row>
    <row r="22" spans="2:14" ht="23.25" x14ac:dyDescent="0.35">
      <c r="D22" s="109" t="s">
        <v>208</v>
      </c>
    </row>
    <row r="24" spans="2:14" x14ac:dyDescent="0.25">
      <c r="B24" t="s">
        <v>206</v>
      </c>
    </row>
    <row r="28" spans="2:14" x14ac:dyDescent="0.25">
      <c r="B28" t="s">
        <v>194</v>
      </c>
      <c r="H28" t="s">
        <v>204</v>
      </c>
    </row>
    <row r="29" spans="2:14" ht="15.75" thickBot="1" x14ac:dyDescent="0.3"/>
    <row r="30" spans="2:14" x14ac:dyDescent="0.25">
      <c r="B30" s="14" t="s">
        <v>195</v>
      </c>
      <c r="C30" s="15" t="s">
        <v>196</v>
      </c>
      <c r="D30" s="16" t="s">
        <v>197</v>
      </c>
      <c r="H30" s="14" t="s">
        <v>195</v>
      </c>
      <c r="I30" s="15" t="s">
        <v>196</v>
      </c>
      <c r="J30" s="16" t="s">
        <v>197</v>
      </c>
      <c r="N30" s="1" t="s">
        <v>207</v>
      </c>
    </row>
    <row r="31" spans="2:14" x14ac:dyDescent="0.25">
      <c r="B31" s="6">
        <v>1</v>
      </c>
      <c r="C31" s="19" t="s">
        <v>198</v>
      </c>
      <c r="D31" s="110"/>
      <c r="H31" s="6">
        <v>1</v>
      </c>
      <c r="I31" s="19" t="s">
        <v>198</v>
      </c>
      <c r="J31" s="110">
        <v>20</v>
      </c>
      <c r="N31" t="s">
        <v>209</v>
      </c>
    </row>
    <row r="32" spans="2:14" x14ac:dyDescent="0.25">
      <c r="B32" s="6">
        <v>4</v>
      </c>
      <c r="C32" s="19" t="s">
        <v>199</v>
      </c>
      <c r="D32" s="111">
        <f>VLOOKUP(C32,I31:J34,2,FALSE)</f>
        <v>11</v>
      </c>
      <c r="H32" s="6">
        <v>2</v>
      </c>
      <c r="I32" s="19" t="s">
        <v>200</v>
      </c>
      <c r="J32" s="110">
        <v>17</v>
      </c>
      <c r="N32" t="s">
        <v>210</v>
      </c>
    </row>
    <row r="33" spans="2:14" x14ac:dyDescent="0.25">
      <c r="B33" s="6">
        <v>2</v>
      </c>
      <c r="C33" s="19" t="s">
        <v>200</v>
      </c>
      <c r="D33" s="9"/>
      <c r="H33" s="6">
        <v>3</v>
      </c>
      <c r="I33" s="19" t="s">
        <v>201</v>
      </c>
      <c r="J33" s="9">
        <v>9</v>
      </c>
      <c r="N33" t="s">
        <v>211</v>
      </c>
    </row>
    <row r="34" spans="2:14" ht="15.75" thickBot="1" x14ac:dyDescent="0.3">
      <c r="B34" s="10">
        <v>3</v>
      </c>
      <c r="C34" s="21" t="s">
        <v>201</v>
      </c>
      <c r="D34" s="13"/>
      <c r="H34" s="10">
        <v>4</v>
      </c>
      <c r="I34" s="21" t="s">
        <v>199</v>
      </c>
      <c r="J34" s="13">
        <v>11</v>
      </c>
      <c r="N34" t="s">
        <v>212</v>
      </c>
    </row>
  </sheetData>
  <sheetProtection algorithmName="SHA-512" hashValue="fp0/L4SLaO2e4BmE6NMIr33JDtgCMkfxa31WxQ00pPaCZv3oTwpwtacX82Qq6z1G2N7aT+4EA2CY4uRriWvRdg==" saltValue="K6H08O46OdWb+I/w0uWGlw==" spinCount="100000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13</xdr:col>
                <xdr:colOff>19050</xdr:colOff>
                <xdr:row>1</xdr:row>
                <xdr:rowOff>123825</xdr:rowOff>
              </from>
              <to>
                <xdr:col>18</xdr:col>
                <xdr:colOff>9525</xdr:colOff>
                <xdr:row>4</xdr:row>
                <xdr:rowOff>180975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E20"/>
  <sheetViews>
    <sheetView showGridLines="0" showRowColHeaders="0" workbookViewId="0">
      <selection activeCell="E37" sqref="E37"/>
    </sheetView>
  </sheetViews>
  <sheetFormatPr defaultRowHeight="15" x14ac:dyDescent="0.25"/>
  <cols>
    <col min="5" max="5" width="23.7109375" bestFit="1" customWidth="1"/>
  </cols>
  <sheetData>
    <row r="2" spans="1:5" ht="31.5" x14ac:dyDescent="0.5">
      <c r="E2" s="2" t="s">
        <v>0</v>
      </c>
    </row>
    <row r="3" spans="1:5" x14ac:dyDescent="0.25">
      <c r="E3" s="3">
        <f ca="1">TODAY()</f>
        <v>43678</v>
      </c>
    </row>
    <row r="5" spans="1:5" x14ac:dyDescent="0.25">
      <c r="E5" s="1" t="s">
        <v>1</v>
      </c>
    </row>
    <row r="6" spans="1:5" x14ac:dyDescent="0.25">
      <c r="A6" s="108" t="s">
        <v>182</v>
      </c>
    </row>
    <row r="10" spans="1:5" x14ac:dyDescent="0.25">
      <c r="C10" t="s">
        <v>2</v>
      </c>
    </row>
    <row r="11" spans="1:5" x14ac:dyDescent="0.25">
      <c r="C11" t="s">
        <v>3</v>
      </c>
    </row>
    <row r="12" spans="1:5" x14ac:dyDescent="0.25">
      <c r="C12" t="s">
        <v>4</v>
      </c>
    </row>
    <row r="19" spans="5:5" x14ac:dyDescent="0.25">
      <c r="E19" s="113"/>
    </row>
    <row r="20" spans="5:5" x14ac:dyDescent="0.25">
      <c r="E20" s="113"/>
    </row>
  </sheetData>
  <sheetProtection algorithmName="SHA-512" hashValue="7fkIcmjQ9U5+b54tBBODyUnewFN+YVoesGegs/Gn7Z6htfEUfGldbxfNTFfUjM0dE4WSqP/Kj9PXhtJ3DfBzMA==" saltValue="p3C147CZznIcAWA8oqATjA==" spinCount="100000" sheet="1" objects="1" scenarios="1"/>
  <mergeCells count="1">
    <mergeCell ref="E19:E2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</xdr:col>
                <xdr:colOff>600075</xdr:colOff>
                <xdr:row>17</xdr:row>
                <xdr:rowOff>171450</xdr:rowOff>
              </from>
              <to>
                <xdr:col>5</xdr:col>
                <xdr:colOff>0</xdr:colOff>
                <xdr:row>20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58"/>
  <sheetViews>
    <sheetView workbookViewId="0">
      <selection activeCell="A4" sqref="A4"/>
    </sheetView>
  </sheetViews>
  <sheetFormatPr defaultRowHeight="15" x14ac:dyDescent="0.25"/>
  <cols>
    <col min="2" max="2" width="20.28515625" bestFit="1" customWidth="1"/>
    <col min="3" max="6" width="17.140625" customWidth="1"/>
    <col min="10" max="10" width="18.42578125" customWidth="1"/>
    <col min="12" max="12" width="18" bestFit="1" customWidth="1"/>
  </cols>
  <sheetData>
    <row r="1" spans="1:12" s="5" customFormat="1" x14ac:dyDescent="0.25">
      <c r="A1" s="4" t="s">
        <v>5</v>
      </c>
    </row>
    <row r="2" spans="1:12" s="5" customFormat="1" x14ac:dyDescent="0.25">
      <c r="A2" s="5" t="s">
        <v>183</v>
      </c>
    </row>
    <row r="6" spans="1:12" x14ac:dyDescent="0.25">
      <c r="B6" s="1" t="s">
        <v>6</v>
      </c>
      <c r="I6" s="1" t="s">
        <v>164</v>
      </c>
    </row>
    <row r="7" spans="1:12" ht="15.75" thickBot="1" x14ac:dyDescent="0.3"/>
    <row r="8" spans="1:12" x14ac:dyDescent="0.25">
      <c r="B8" s="14" t="s">
        <v>7</v>
      </c>
      <c r="C8" s="15" t="s">
        <v>8</v>
      </c>
      <c r="D8" s="15" t="s">
        <v>9</v>
      </c>
      <c r="E8" s="15" t="s">
        <v>10</v>
      </c>
      <c r="F8" s="16" t="s">
        <v>11</v>
      </c>
      <c r="I8" s="17" t="s">
        <v>165</v>
      </c>
      <c r="J8" s="15" t="s">
        <v>10</v>
      </c>
      <c r="K8" s="15" t="s">
        <v>166</v>
      </c>
      <c r="L8" s="16" t="s">
        <v>7</v>
      </c>
    </row>
    <row r="9" spans="1:12" x14ac:dyDescent="0.25">
      <c r="B9" s="18" t="s">
        <v>12</v>
      </c>
      <c r="C9" s="8">
        <v>41</v>
      </c>
      <c r="D9" s="19" t="s">
        <v>62</v>
      </c>
      <c r="E9" s="19" t="s">
        <v>112</v>
      </c>
      <c r="F9" s="9" t="s">
        <v>162</v>
      </c>
      <c r="I9" s="6">
        <v>1</v>
      </c>
      <c r="J9" s="7"/>
      <c r="K9" s="8" t="s">
        <v>167</v>
      </c>
      <c r="L9" s="9" t="s">
        <v>22</v>
      </c>
    </row>
    <row r="10" spans="1:12" x14ac:dyDescent="0.25">
      <c r="B10" s="18" t="s">
        <v>13</v>
      </c>
      <c r="C10" s="8">
        <v>72</v>
      </c>
      <c r="D10" s="19" t="s">
        <v>63</v>
      </c>
      <c r="E10" s="19" t="s">
        <v>113</v>
      </c>
      <c r="F10" s="9" t="s">
        <v>162</v>
      </c>
      <c r="I10" s="6">
        <v>2</v>
      </c>
      <c r="J10" s="7"/>
      <c r="K10" s="8" t="s">
        <v>167</v>
      </c>
      <c r="L10" s="9" t="s">
        <v>40</v>
      </c>
    </row>
    <row r="11" spans="1:12" x14ac:dyDescent="0.25">
      <c r="B11" s="18" t="s">
        <v>14</v>
      </c>
      <c r="C11" s="8">
        <v>30</v>
      </c>
      <c r="D11" s="19" t="s">
        <v>64</v>
      </c>
      <c r="E11" s="19" t="s">
        <v>114</v>
      </c>
      <c r="F11" s="9" t="s">
        <v>163</v>
      </c>
      <c r="I11" s="6">
        <v>3</v>
      </c>
      <c r="J11" s="7"/>
      <c r="K11" s="8" t="s">
        <v>168</v>
      </c>
      <c r="L11" s="9" t="s">
        <v>61</v>
      </c>
    </row>
    <row r="12" spans="1:12" x14ac:dyDescent="0.25">
      <c r="B12" s="18" t="s">
        <v>15</v>
      </c>
      <c r="C12" s="8">
        <v>50</v>
      </c>
      <c r="D12" s="19" t="s">
        <v>65</v>
      </c>
      <c r="E12" s="19" t="s">
        <v>115</v>
      </c>
      <c r="F12" s="9" t="s">
        <v>162</v>
      </c>
      <c r="I12" s="6">
        <v>4</v>
      </c>
      <c r="J12" s="7"/>
      <c r="K12" s="8" t="s">
        <v>167</v>
      </c>
      <c r="L12" s="9" t="s">
        <v>37</v>
      </c>
    </row>
    <row r="13" spans="1:12" x14ac:dyDescent="0.25">
      <c r="B13" s="18" t="s">
        <v>16</v>
      </c>
      <c r="C13" s="8">
        <v>30</v>
      </c>
      <c r="D13" s="19" t="s">
        <v>66</v>
      </c>
      <c r="E13" s="19" t="s">
        <v>116</v>
      </c>
      <c r="F13" s="9" t="s">
        <v>162</v>
      </c>
      <c r="I13" s="6">
        <v>5</v>
      </c>
      <c r="J13" s="7"/>
      <c r="K13" s="8" t="s">
        <v>167</v>
      </c>
      <c r="L13" s="9" t="s">
        <v>20</v>
      </c>
    </row>
    <row r="14" spans="1:12" x14ac:dyDescent="0.25">
      <c r="B14" s="18" t="s">
        <v>17</v>
      </c>
      <c r="C14" s="8">
        <v>75</v>
      </c>
      <c r="D14" s="19" t="s">
        <v>67</v>
      </c>
      <c r="E14" s="19" t="s">
        <v>117</v>
      </c>
      <c r="F14" s="9" t="s">
        <v>162</v>
      </c>
      <c r="I14" s="6">
        <v>6</v>
      </c>
      <c r="J14" s="7"/>
      <c r="K14" s="8" t="s">
        <v>167</v>
      </c>
      <c r="L14" s="9" t="s">
        <v>44</v>
      </c>
    </row>
    <row r="15" spans="1:12" x14ac:dyDescent="0.25">
      <c r="B15" s="18" t="s">
        <v>18</v>
      </c>
      <c r="C15" s="8">
        <v>81</v>
      </c>
      <c r="D15" s="19" t="s">
        <v>68</v>
      </c>
      <c r="E15" s="19" t="s">
        <v>118</v>
      </c>
      <c r="F15" s="9" t="s">
        <v>163</v>
      </c>
      <c r="I15" s="6">
        <v>7</v>
      </c>
      <c r="J15" s="7"/>
      <c r="K15" s="8" t="s">
        <v>167</v>
      </c>
      <c r="L15" s="9" t="s">
        <v>34</v>
      </c>
    </row>
    <row r="16" spans="1:12" x14ac:dyDescent="0.25">
      <c r="B16" s="18" t="s">
        <v>19</v>
      </c>
      <c r="C16" s="8">
        <v>52</v>
      </c>
      <c r="D16" s="19" t="s">
        <v>69</v>
      </c>
      <c r="E16" s="19" t="s">
        <v>119</v>
      </c>
      <c r="F16" s="9" t="s">
        <v>162</v>
      </c>
      <c r="I16" s="6">
        <v>8</v>
      </c>
      <c r="J16" s="7"/>
      <c r="K16" s="8" t="s">
        <v>168</v>
      </c>
      <c r="L16" s="9" t="s">
        <v>51</v>
      </c>
    </row>
    <row r="17" spans="2:12" x14ac:dyDescent="0.25">
      <c r="B17" s="18" t="s">
        <v>20</v>
      </c>
      <c r="C17" s="8">
        <v>71</v>
      </c>
      <c r="D17" s="19" t="s">
        <v>70</v>
      </c>
      <c r="E17" s="19" t="s">
        <v>120</v>
      </c>
      <c r="F17" s="9" t="s">
        <v>162</v>
      </c>
      <c r="I17" s="6">
        <v>9</v>
      </c>
      <c r="J17" s="7"/>
      <c r="K17" s="8" t="s">
        <v>167</v>
      </c>
      <c r="L17" s="9" t="s">
        <v>13</v>
      </c>
    </row>
    <row r="18" spans="2:12" ht="15.75" thickBot="1" x14ac:dyDescent="0.3">
      <c r="B18" s="18" t="s">
        <v>21</v>
      </c>
      <c r="C18" s="8">
        <v>38</v>
      </c>
      <c r="D18" s="19" t="s">
        <v>71</v>
      </c>
      <c r="E18" s="19" t="s">
        <v>121</v>
      </c>
      <c r="F18" s="9" t="s">
        <v>162</v>
      </c>
      <c r="I18" s="10">
        <v>10</v>
      </c>
      <c r="J18" s="11"/>
      <c r="K18" s="12" t="s">
        <v>167</v>
      </c>
      <c r="L18" s="13" t="s">
        <v>43</v>
      </c>
    </row>
    <row r="19" spans="2:12" x14ac:dyDescent="0.25">
      <c r="B19" s="18" t="s">
        <v>22</v>
      </c>
      <c r="C19" s="8">
        <v>56</v>
      </c>
      <c r="D19" s="19" t="s">
        <v>72</v>
      </c>
      <c r="E19" s="19" t="s">
        <v>122</v>
      </c>
      <c r="F19" s="9" t="s">
        <v>162</v>
      </c>
    </row>
    <row r="20" spans="2:12" x14ac:dyDescent="0.25">
      <c r="B20" s="18" t="s">
        <v>23</v>
      </c>
      <c r="C20" s="8">
        <v>68</v>
      </c>
      <c r="D20" s="19" t="s">
        <v>73</v>
      </c>
      <c r="E20" s="19" t="s">
        <v>123</v>
      </c>
      <c r="F20" s="9" t="s">
        <v>163</v>
      </c>
    </row>
    <row r="21" spans="2:12" x14ac:dyDescent="0.25">
      <c r="B21" s="18" t="s">
        <v>24</v>
      </c>
      <c r="C21" s="8">
        <v>85</v>
      </c>
      <c r="D21" s="19" t="s">
        <v>74</v>
      </c>
      <c r="E21" s="19" t="s">
        <v>124</v>
      </c>
      <c r="F21" s="9" t="s">
        <v>162</v>
      </c>
    </row>
    <row r="22" spans="2:12" x14ac:dyDescent="0.25">
      <c r="B22" s="18" t="s">
        <v>25</v>
      </c>
      <c r="C22" s="8">
        <v>73</v>
      </c>
      <c r="D22" s="19" t="s">
        <v>75</v>
      </c>
      <c r="E22" s="19" t="s">
        <v>125</v>
      </c>
      <c r="F22" s="9" t="s">
        <v>162</v>
      </c>
    </row>
    <row r="23" spans="2:12" x14ac:dyDescent="0.25">
      <c r="B23" s="18" t="s">
        <v>26</v>
      </c>
      <c r="C23" s="8">
        <v>73</v>
      </c>
      <c r="D23" s="19" t="s">
        <v>76</v>
      </c>
      <c r="E23" s="19" t="s">
        <v>126</v>
      </c>
      <c r="F23" s="9" t="s">
        <v>163</v>
      </c>
    </row>
    <row r="24" spans="2:12" x14ac:dyDescent="0.25">
      <c r="B24" s="18" t="s">
        <v>27</v>
      </c>
      <c r="C24" s="8">
        <v>59</v>
      </c>
      <c r="D24" s="19" t="s">
        <v>77</v>
      </c>
      <c r="E24" s="19" t="s">
        <v>127</v>
      </c>
      <c r="F24" s="9" t="s">
        <v>162</v>
      </c>
    </row>
    <row r="25" spans="2:12" x14ac:dyDescent="0.25">
      <c r="B25" s="18" t="s">
        <v>28</v>
      </c>
      <c r="C25" s="8">
        <v>35</v>
      </c>
      <c r="D25" s="19" t="s">
        <v>78</v>
      </c>
      <c r="E25" s="19" t="s">
        <v>128</v>
      </c>
      <c r="F25" s="9" t="s">
        <v>162</v>
      </c>
    </row>
    <row r="26" spans="2:12" x14ac:dyDescent="0.25">
      <c r="B26" s="18" t="s">
        <v>29</v>
      </c>
      <c r="C26" s="8">
        <v>51</v>
      </c>
      <c r="D26" s="19" t="s">
        <v>79</v>
      </c>
      <c r="E26" s="19" t="s">
        <v>129</v>
      </c>
      <c r="F26" s="9" t="s">
        <v>162</v>
      </c>
    </row>
    <row r="27" spans="2:12" x14ac:dyDescent="0.25">
      <c r="B27" s="18" t="s">
        <v>30</v>
      </c>
      <c r="C27" s="8">
        <v>74</v>
      </c>
      <c r="D27" s="19" t="s">
        <v>80</v>
      </c>
      <c r="E27" s="19" t="s">
        <v>130</v>
      </c>
      <c r="F27" s="9" t="s">
        <v>163</v>
      </c>
    </row>
    <row r="28" spans="2:12" x14ac:dyDescent="0.25">
      <c r="B28" s="18" t="s">
        <v>31</v>
      </c>
      <c r="C28" s="8">
        <v>46</v>
      </c>
      <c r="D28" s="19" t="s">
        <v>81</v>
      </c>
      <c r="E28" s="19" t="s">
        <v>131</v>
      </c>
      <c r="F28" s="9" t="s">
        <v>162</v>
      </c>
    </row>
    <row r="29" spans="2:12" x14ac:dyDescent="0.25">
      <c r="B29" s="18" t="s">
        <v>32</v>
      </c>
      <c r="C29" s="8">
        <v>60</v>
      </c>
      <c r="D29" s="19" t="s">
        <v>82</v>
      </c>
      <c r="E29" s="19" t="s">
        <v>132</v>
      </c>
      <c r="F29" s="9" t="s">
        <v>162</v>
      </c>
    </row>
    <row r="30" spans="2:12" x14ac:dyDescent="0.25">
      <c r="B30" s="18" t="s">
        <v>33</v>
      </c>
      <c r="C30" s="8">
        <v>31</v>
      </c>
      <c r="D30" s="19" t="s">
        <v>83</v>
      </c>
      <c r="E30" s="19" t="s">
        <v>133</v>
      </c>
      <c r="F30" s="9" t="s">
        <v>162</v>
      </c>
    </row>
    <row r="31" spans="2:12" x14ac:dyDescent="0.25">
      <c r="B31" s="18" t="s">
        <v>34</v>
      </c>
      <c r="C31" s="8">
        <v>25</v>
      </c>
      <c r="D31" s="19" t="s">
        <v>84</v>
      </c>
      <c r="E31" s="19" t="s">
        <v>134</v>
      </c>
      <c r="F31" s="9" t="s">
        <v>162</v>
      </c>
    </row>
    <row r="32" spans="2:12" x14ac:dyDescent="0.25">
      <c r="B32" s="18" t="s">
        <v>35</v>
      </c>
      <c r="C32" s="8">
        <v>78</v>
      </c>
      <c r="D32" s="19" t="s">
        <v>85</v>
      </c>
      <c r="E32" s="19" t="s">
        <v>135</v>
      </c>
      <c r="F32" s="9" t="s">
        <v>163</v>
      </c>
    </row>
    <row r="33" spans="2:6" x14ac:dyDescent="0.25">
      <c r="B33" s="18" t="s">
        <v>36</v>
      </c>
      <c r="C33" s="8">
        <v>81</v>
      </c>
      <c r="D33" s="19" t="s">
        <v>86</v>
      </c>
      <c r="E33" s="19" t="s">
        <v>136</v>
      </c>
      <c r="F33" s="9" t="s">
        <v>162</v>
      </c>
    </row>
    <row r="34" spans="2:6" x14ac:dyDescent="0.25">
      <c r="B34" s="18" t="s">
        <v>37</v>
      </c>
      <c r="C34" s="8">
        <v>77</v>
      </c>
      <c r="D34" s="19" t="s">
        <v>87</v>
      </c>
      <c r="E34" s="19" t="s">
        <v>137</v>
      </c>
      <c r="F34" s="9" t="s">
        <v>162</v>
      </c>
    </row>
    <row r="35" spans="2:6" x14ac:dyDescent="0.25">
      <c r="B35" s="18" t="s">
        <v>38</v>
      </c>
      <c r="C35" s="8">
        <v>66</v>
      </c>
      <c r="D35" s="19" t="s">
        <v>88</v>
      </c>
      <c r="E35" s="19" t="s">
        <v>138</v>
      </c>
      <c r="F35" s="9" t="s">
        <v>163</v>
      </c>
    </row>
    <row r="36" spans="2:6" x14ac:dyDescent="0.25">
      <c r="B36" s="18" t="s">
        <v>39</v>
      </c>
      <c r="C36" s="8">
        <v>47</v>
      </c>
      <c r="D36" s="19" t="s">
        <v>89</v>
      </c>
      <c r="E36" s="19" t="s">
        <v>139</v>
      </c>
      <c r="F36" s="9" t="s">
        <v>162</v>
      </c>
    </row>
    <row r="37" spans="2:6" x14ac:dyDescent="0.25">
      <c r="B37" s="18" t="s">
        <v>40</v>
      </c>
      <c r="C37" s="8">
        <v>31</v>
      </c>
      <c r="D37" s="19" t="s">
        <v>90</v>
      </c>
      <c r="E37" s="19" t="s">
        <v>140</v>
      </c>
      <c r="F37" s="9" t="s">
        <v>162</v>
      </c>
    </row>
    <row r="38" spans="2:6" x14ac:dyDescent="0.25">
      <c r="B38" s="18" t="s">
        <v>41</v>
      </c>
      <c r="C38" s="8">
        <v>46</v>
      </c>
      <c r="D38" s="19" t="s">
        <v>91</v>
      </c>
      <c r="E38" s="19" t="s">
        <v>141</v>
      </c>
      <c r="F38" s="9" t="s">
        <v>162</v>
      </c>
    </row>
    <row r="39" spans="2:6" x14ac:dyDescent="0.25">
      <c r="B39" s="18" t="s">
        <v>42</v>
      </c>
      <c r="C39" s="8">
        <v>81</v>
      </c>
      <c r="D39" s="19" t="s">
        <v>92</v>
      </c>
      <c r="E39" s="19" t="s">
        <v>142</v>
      </c>
      <c r="F39" s="9" t="s">
        <v>163</v>
      </c>
    </row>
    <row r="40" spans="2:6" x14ac:dyDescent="0.25">
      <c r="B40" s="18" t="s">
        <v>43</v>
      </c>
      <c r="C40" s="8">
        <v>47</v>
      </c>
      <c r="D40" s="19" t="s">
        <v>93</v>
      </c>
      <c r="E40" s="19" t="s">
        <v>143</v>
      </c>
      <c r="F40" s="9" t="s">
        <v>162</v>
      </c>
    </row>
    <row r="41" spans="2:6" x14ac:dyDescent="0.25">
      <c r="B41" s="18" t="s">
        <v>44</v>
      </c>
      <c r="C41" s="8">
        <v>30</v>
      </c>
      <c r="D41" s="19" t="s">
        <v>94</v>
      </c>
      <c r="E41" s="19" t="s">
        <v>144</v>
      </c>
      <c r="F41" s="9" t="s">
        <v>162</v>
      </c>
    </row>
    <row r="42" spans="2:6" x14ac:dyDescent="0.25">
      <c r="B42" s="18" t="s">
        <v>45</v>
      </c>
      <c r="C42" s="8">
        <v>67</v>
      </c>
      <c r="D42" s="19" t="s">
        <v>95</v>
      </c>
      <c r="E42" s="19" t="s">
        <v>145</v>
      </c>
      <c r="F42" s="9" t="s">
        <v>162</v>
      </c>
    </row>
    <row r="43" spans="2:6" x14ac:dyDescent="0.25">
      <c r="B43" s="18" t="s">
        <v>46</v>
      </c>
      <c r="C43" s="8">
        <v>49</v>
      </c>
      <c r="D43" s="19" t="s">
        <v>96</v>
      </c>
      <c r="E43" s="19" t="s">
        <v>146</v>
      </c>
      <c r="F43" s="9" t="s">
        <v>162</v>
      </c>
    </row>
    <row r="44" spans="2:6" x14ac:dyDescent="0.25">
      <c r="B44" s="18" t="s">
        <v>47</v>
      </c>
      <c r="C44" s="8">
        <v>55</v>
      </c>
      <c r="D44" s="19" t="s">
        <v>97</v>
      </c>
      <c r="E44" s="19" t="s">
        <v>147</v>
      </c>
      <c r="F44" s="9" t="s">
        <v>163</v>
      </c>
    </row>
    <row r="45" spans="2:6" x14ac:dyDescent="0.25">
      <c r="B45" s="18" t="s">
        <v>48</v>
      </c>
      <c r="C45" s="8">
        <v>76</v>
      </c>
      <c r="D45" s="19" t="s">
        <v>98</v>
      </c>
      <c r="E45" s="19" t="s">
        <v>148</v>
      </c>
      <c r="F45" s="9" t="s">
        <v>162</v>
      </c>
    </row>
    <row r="46" spans="2:6" x14ac:dyDescent="0.25">
      <c r="B46" s="18" t="s">
        <v>49</v>
      </c>
      <c r="C46" s="8">
        <v>27</v>
      </c>
      <c r="D46" s="19" t="s">
        <v>99</v>
      </c>
      <c r="E46" s="19" t="s">
        <v>149</v>
      </c>
      <c r="F46" s="9" t="s">
        <v>162</v>
      </c>
    </row>
    <row r="47" spans="2:6" x14ac:dyDescent="0.25">
      <c r="B47" s="18" t="s">
        <v>50</v>
      </c>
      <c r="C47" s="8">
        <v>48</v>
      </c>
      <c r="D47" s="19" t="s">
        <v>100</v>
      </c>
      <c r="E47" s="19" t="s">
        <v>150</v>
      </c>
      <c r="F47" s="9" t="s">
        <v>163</v>
      </c>
    </row>
    <row r="48" spans="2:6" x14ac:dyDescent="0.25">
      <c r="B48" s="18" t="s">
        <v>51</v>
      </c>
      <c r="C48" s="8">
        <v>20</v>
      </c>
      <c r="D48" s="19" t="s">
        <v>101</v>
      </c>
      <c r="E48" s="19" t="s">
        <v>151</v>
      </c>
      <c r="F48" s="9" t="s">
        <v>162</v>
      </c>
    </row>
    <row r="49" spans="2:6" x14ac:dyDescent="0.25">
      <c r="B49" s="18" t="s">
        <v>52</v>
      </c>
      <c r="C49" s="8">
        <v>22</v>
      </c>
      <c r="D49" s="19" t="s">
        <v>102</v>
      </c>
      <c r="E49" s="19" t="s">
        <v>152</v>
      </c>
      <c r="F49" s="9" t="s">
        <v>162</v>
      </c>
    </row>
    <row r="50" spans="2:6" x14ac:dyDescent="0.25">
      <c r="B50" s="18" t="s">
        <v>53</v>
      </c>
      <c r="C50" s="8">
        <v>73</v>
      </c>
      <c r="D50" s="19" t="s">
        <v>103</v>
      </c>
      <c r="E50" s="19" t="s">
        <v>153</v>
      </c>
      <c r="F50" s="9" t="s">
        <v>162</v>
      </c>
    </row>
    <row r="51" spans="2:6" x14ac:dyDescent="0.25">
      <c r="B51" s="18" t="s">
        <v>54</v>
      </c>
      <c r="C51" s="8">
        <v>42</v>
      </c>
      <c r="D51" s="19" t="s">
        <v>104</v>
      </c>
      <c r="E51" s="19" t="s">
        <v>154</v>
      </c>
      <c r="F51" s="9" t="s">
        <v>163</v>
      </c>
    </row>
    <row r="52" spans="2:6" x14ac:dyDescent="0.25">
      <c r="B52" s="18" t="s">
        <v>55</v>
      </c>
      <c r="C52" s="8">
        <v>51</v>
      </c>
      <c r="D52" s="19" t="s">
        <v>105</v>
      </c>
      <c r="E52" s="19" t="s">
        <v>155</v>
      </c>
      <c r="F52" s="9" t="s">
        <v>162</v>
      </c>
    </row>
    <row r="53" spans="2:6" x14ac:dyDescent="0.25">
      <c r="B53" s="18" t="s">
        <v>56</v>
      </c>
      <c r="C53" s="8">
        <v>45</v>
      </c>
      <c r="D53" s="19" t="s">
        <v>106</v>
      </c>
      <c r="E53" s="19" t="s">
        <v>156</v>
      </c>
      <c r="F53" s="9" t="s">
        <v>162</v>
      </c>
    </row>
    <row r="54" spans="2:6" x14ac:dyDescent="0.25">
      <c r="B54" s="18" t="s">
        <v>57</v>
      </c>
      <c r="C54" s="8">
        <v>81</v>
      </c>
      <c r="D54" s="19" t="s">
        <v>107</v>
      </c>
      <c r="E54" s="19" t="s">
        <v>157</v>
      </c>
      <c r="F54" s="9" t="s">
        <v>162</v>
      </c>
    </row>
    <row r="55" spans="2:6" x14ac:dyDescent="0.25">
      <c r="B55" s="18" t="s">
        <v>58</v>
      </c>
      <c r="C55" s="8">
        <v>60</v>
      </c>
      <c r="D55" s="19" t="s">
        <v>108</v>
      </c>
      <c r="E55" s="19" t="s">
        <v>158</v>
      </c>
      <c r="F55" s="9" t="s">
        <v>162</v>
      </c>
    </row>
    <row r="56" spans="2:6" x14ac:dyDescent="0.25">
      <c r="B56" s="18" t="s">
        <v>59</v>
      </c>
      <c r="C56" s="8">
        <v>71</v>
      </c>
      <c r="D56" s="19" t="s">
        <v>109</v>
      </c>
      <c r="E56" s="19" t="s">
        <v>159</v>
      </c>
      <c r="F56" s="9" t="s">
        <v>163</v>
      </c>
    </row>
    <row r="57" spans="2:6" x14ac:dyDescent="0.25">
      <c r="B57" s="18" t="s">
        <v>60</v>
      </c>
      <c r="C57" s="8">
        <v>29</v>
      </c>
      <c r="D57" s="19" t="s">
        <v>110</v>
      </c>
      <c r="E57" s="19" t="s">
        <v>160</v>
      </c>
      <c r="F57" s="9" t="s">
        <v>162</v>
      </c>
    </row>
    <row r="58" spans="2:6" ht="15.75" thickBot="1" x14ac:dyDescent="0.3">
      <c r="B58" s="20" t="s">
        <v>61</v>
      </c>
      <c r="C58" s="12">
        <v>73</v>
      </c>
      <c r="D58" s="21" t="s">
        <v>111</v>
      </c>
      <c r="E58" s="21" t="s">
        <v>161</v>
      </c>
      <c r="F58" s="13" t="s">
        <v>162</v>
      </c>
    </row>
  </sheetData>
  <sheetProtection algorithmName="SHA-512" hashValue="t8a5/iFG/NtQLPXHOykueCoJCHBfdA6xIrEdja3Ko3/psve2Le67KycrHCzhfhp/2zehY/YkjLhKz/fZwqF+gg==" saltValue="fjiKYljMb2ap4VnBJF4IAQ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ommandButton2">
          <controlPr defaultSize="0" autoLine="0" r:id="rId4">
            <anchor moveWithCells="1">
              <from>
                <xdr:col>10</xdr:col>
                <xdr:colOff>409575</xdr:colOff>
                <xdr:row>23</xdr:row>
                <xdr:rowOff>0</xdr:rowOff>
              </from>
              <to>
                <xdr:col>12</xdr:col>
                <xdr:colOff>0</xdr:colOff>
                <xdr:row>25</xdr:row>
                <xdr:rowOff>9525</xdr:rowOff>
              </to>
            </anchor>
          </controlPr>
        </control>
      </mc:Choice>
      <mc:Fallback>
        <control shapeId="5122" r:id="rId3" name="CommandButton2"/>
      </mc:Fallback>
    </mc:AlternateContent>
    <mc:AlternateContent xmlns:mc="http://schemas.openxmlformats.org/markup-compatibility/2006">
      <mc:Choice Requires="x14">
        <control shapeId="5121" r:id="rId5" name="CommandButton1">
          <controlPr defaultSize="0" autoLine="0" r:id="rId6">
            <anchor moveWithCells="1">
              <from>
                <xdr:col>8</xdr:col>
                <xdr:colOff>9525</xdr:colOff>
                <xdr:row>22</xdr:row>
                <xdr:rowOff>180975</xdr:rowOff>
              </from>
              <to>
                <xdr:col>9</xdr:col>
                <xdr:colOff>800100</xdr:colOff>
                <xdr:row>25</xdr:row>
                <xdr:rowOff>0</xdr:rowOff>
              </to>
            </anchor>
          </controlPr>
        </control>
      </mc:Choice>
      <mc:Fallback>
        <control shapeId="5121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58"/>
  <sheetViews>
    <sheetView workbookViewId="0">
      <selection activeCell="A3" sqref="A3"/>
    </sheetView>
  </sheetViews>
  <sheetFormatPr defaultRowHeight="15" x14ac:dyDescent="0.25"/>
  <cols>
    <col min="1" max="1" width="9.140625" style="92"/>
    <col min="2" max="3" width="17.140625" style="92" customWidth="1"/>
    <col min="4" max="4" width="20.28515625" style="92" bestFit="1" customWidth="1"/>
    <col min="5" max="6" width="17.140625" style="92" customWidth="1"/>
    <col min="7" max="7" width="9.140625" style="92"/>
    <col min="8" max="9" width="9.140625" style="25"/>
    <col min="10" max="10" width="18" style="25" bestFit="1" customWidth="1"/>
    <col min="11" max="11" width="18.42578125" style="25" customWidth="1"/>
    <col min="12" max="16384" width="9.140625" style="25"/>
  </cols>
  <sheetData>
    <row r="1" spans="1:12" s="24" customFormat="1" x14ac:dyDescent="0.25">
      <c r="A1" s="90" t="s">
        <v>169</v>
      </c>
      <c r="B1" s="91"/>
      <c r="C1" s="91"/>
      <c r="D1" s="91"/>
      <c r="E1" s="91"/>
      <c r="F1" s="91"/>
      <c r="G1" s="91"/>
    </row>
    <row r="2" spans="1:12" s="24" customFormat="1" x14ac:dyDescent="0.25">
      <c r="A2" s="91" t="s">
        <v>184</v>
      </c>
      <c r="B2" s="91"/>
      <c r="C2" s="91"/>
      <c r="D2" s="91"/>
      <c r="E2" s="91"/>
      <c r="F2" s="91"/>
      <c r="G2" s="91"/>
    </row>
    <row r="3" spans="1:12" s="24" customFormat="1" x14ac:dyDescent="0.25">
      <c r="A3" s="91" t="s">
        <v>170</v>
      </c>
      <c r="B3" s="91"/>
      <c r="C3" s="91"/>
      <c r="D3" s="91"/>
      <c r="E3" s="91"/>
      <c r="F3" s="91"/>
      <c r="G3" s="91"/>
    </row>
    <row r="6" spans="1:12" x14ac:dyDescent="0.25">
      <c r="B6" s="93" t="s">
        <v>6</v>
      </c>
      <c r="I6" s="26" t="s">
        <v>164</v>
      </c>
    </row>
    <row r="7" spans="1:12" ht="15.75" thickBot="1" x14ac:dyDescent="0.3"/>
    <row r="8" spans="1:12" x14ac:dyDescent="0.25">
      <c r="B8" s="95" t="s">
        <v>11</v>
      </c>
      <c r="C8" s="94" t="s">
        <v>10</v>
      </c>
      <c r="D8" s="94" t="s">
        <v>7</v>
      </c>
      <c r="E8" s="94" t="s">
        <v>8</v>
      </c>
      <c r="F8" s="96" t="s">
        <v>9</v>
      </c>
      <c r="I8" s="30" t="s">
        <v>165</v>
      </c>
      <c r="J8" s="28" t="s">
        <v>7</v>
      </c>
      <c r="K8" s="28" t="s">
        <v>10</v>
      </c>
      <c r="L8" s="29" t="s">
        <v>11</v>
      </c>
    </row>
    <row r="9" spans="1:12" x14ac:dyDescent="0.25">
      <c r="B9" s="98" t="s">
        <v>162</v>
      </c>
      <c r="C9" s="99" t="s">
        <v>112</v>
      </c>
      <c r="D9" s="97" t="s">
        <v>12</v>
      </c>
      <c r="E9" s="97">
        <v>41</v>
      </c>
      <c r="F9" s="100" t="s">
        <v>62</v>
      </c>
      <c r="I9" s="35">
        <v>1</v>
      </c>
      <c r="J9" s="36" t="s">
        <v>22</v>
      </c>
      <c r="K9" s="41"/>
      <c r="L9" s="42"/>
    </row>
    <row r="10" spans="1:12" x14ac:dyDescent="0.25">
      <c r="B10" s="98" t="s">
        <v>162</v>
      </c>
      <c r="C10" s="99" t="s">
        <v>113</v>
      </c>
      <c r="D10" s="97" t="s">
        <v>13</v>
      </c>
      <c r="E10" s="97">
        <v>72</v>
      </c>
      <c r="F10" s="100" t="s">
        <v>63</v>
      </c>
      <c r="I10" s="35">
        <v>2</v>
      </c>
      <c r="J10" s="36" t="s">
        <v>40</v>
      </c>
      <c r="K10" s="41"/>
      <c r="L10" s="42"/>
    </row>
    <row r="11" spans="1:12" x14ac:dyDescent="0.25">
      <c r="B11" s="98" t="s">
        <v>163</v>
      </c>
      <c r="C11" s="99" t="s">
        <v>114</v>
      </c>
      <c r="D11" s="97" t="s">
        <v>14</v>
      </c>
      <c r="E11" s="97">
        <v>30</v>
      </c>
      <c r="F11" s="100" t="s">
        <v>64</v>
      </c>
      <c r="I11" s="35">
        <v>3</v>
      </c>
      <c r="J11" s="36" t="s">
        <v>18</v>
      </c>
      <c r="K11" s="41"/>
      <c r="L11" s="42"/>
    </row>
    <row r="12" spans="1:12" x14ac:dyDescent="0.25">
      <c r="B12" s="98" t="s">
        <v>162</v>
      </c>
      <c r="C12" s="99" t="s">
        <v>115</v>
      </c>
      <c r="D12" s="97" t="s">
        <v>15</v>
      </c>
      <c r="E12" s="97">
        <v>50</v>
      </c>
      <c r="F12" s="100" t="s">
        <v>65</v>
      </c>
      <c r="I12" s="35">
        <v>4</v>
      </c>
      <c r="J12" s="36" t="s">
        <v>37</v>
      </c>
      <c r="K12" s="41"/>
      <c r="L12" s="42"/>
    </row>
    <row r="13" spans="1:12" x14ac:dyDescent="0.25">
      <c r="B13" s="98" t="s">
        <v>162</v>
      </c>
      <c r="C13" s="99" t="s">
        <v>116</v>
      </c>
      <c r="D13" s="97" t="s">
        <v>16</v>
      </c>
      <c r="E13" s="97">
        <v>30</v>
      </c>
      <c r="F13" s="100" t="s">
        <v>66</v>
      </c>
      <c r="I13" s="35">
        <v>5</v>
      </c>
      <c r="J13" s="36" t="s">
        <v>20</v>
      </c>
      <c r="K13" s="41"/>
      <c r="L13" s="42"/>
    </row>
    <row r="14" spans="1:12" x14ac:dyDescent="0.25">
      <c r="B14" s="98" t="s">
        <v>162</v>
      </c>
      <c r="C14" s="99" t="s">
        <v>117</v>
      </c>
      <c r="D14" s="97" t="s">
        <v>17</v>
      </c>
      <c r="E14" s="97">
        <v>75</v>
      </c>
      <c r="F14" s="100" t="s">
        <v>67</v>
      </c>
      <c r="I14" s="35">
        <v>6</v>
      </c>
      <c r="J14" s="36" t="s">
        <v>44</v>
      </c>
      <c r="K14" s="41"/>
      <c r="L14" s="42"/>
    </row>
    <row r="15" spans="1:12" x14ac:dyDescent="0.25">
      <c r="B15" s="98" t="s">
        <v>163</v>
      </c>
      <c r="C15" s="99" t="s">
        <v>118</v>
      </c>
      <c r="D15" s="97" t="s">
        <v>18</v>
      </c>
      <c r="E15" s="97">
        <v>81</v>
      </c>
      <c r="F15" s="100" t="s">
        <v>68</v>
      </c>
      <c r="I15" s="35">
        <v>7</v>
      </c>
      <c r="J15" s="36" t="s">
        <v>34</v>
      </c>
      <c r="K15" s="41"/>
      <c r="L15" s="42"/>
    </row>
    <row r="16" spans="1:12" x14ac:dyDescent="0.25">
      <c r="B16" s="98" t="s">
        <v>162</v>
      </c>
      <c r="C16" s="99" t="s">
        <v>119</v>
      </c>
      <c r="D16" s="97" t="s">
        <v>19</v>
      </c>
      <c r="E16" s="97">
        <v>52</v>
      </c>
      <c r="F16" s="100" t="s">
        <v>69</v>
      </c>
      <c r="I16" s="35">
        <v>8</v>
      </c>
      <c r="J16" s="36" t="s">
        <v>51</v>
      </c>
      <c r="K16" s="41"/>
      <c r="L16" s="42"/>
    </row>
    <row r="17" spans="2:12" x14ac:dyDescent="0.25">
      <c r="B17" s="98" t="s">
        <v>162</v>
      </c>
      <c r="C17" s="99" t="s">
        <v>120</v>
      </c>
      <c r="D17" s="97" t="s">
        <v>20</v>
      </c>
      <c r="E17" s="97">
        <v>71</v>
      </c>
      <c r="F17" s="100" t="s">
        <v>70</v>
      </c>
      <c r="I17" s="35">
        <v>9</v>
      </c>
      <c r="J17" s="36" t="s">
        <v>13</v>
      </c>
      <c r="K17" s="41"/>
      <c r="L17" s="42"/>
    </row>
    <row r="18" spans="2:12" ht="15.75" thickBot="1" x14ac:dyDescent="0.3">
      <c r="B18" s="98" t="s">
        <v>162</v>
      </c>
      <c r="C18" s="99" t="s">
        <v>121</v>
      </c>
      <c r="D18" s="97" t="s">
        <v>21</v>
      </c>
      <c r="E18" s="97">
        <v>38</v>
      </c>
      <c r="F18" s="100" t="s">
        <v>71</v>
      </c>
      <c r="I18" s="37">
        <v>10</v>
      </c>
      <c r="J18" s="38" t="s">
        <v>43</v>
      </c>
      <c r="K18" s="43"/>
      <c r="L18" s="44"/>
    </row>
    <row r="19" spans="2:12" x14ac:dyDescent="0.25">
      <c r="B19" s="98" t="s">
        <v>162</v>
      </c>
      <c r="C19" s="99" t="s">
        <v>122</v>
      </c>
      <c r="D19" s="97" t="s">
        <v>22</v>
      </c>
      <c r="E19" s="97">
        <v>56</v>
      </c>
      <c r="F19" s="100" t="s">
        <v>72</v>
      </c>
    </row>
    <row r="20" spans="2:12" x14ac:dyDescent="0.25">
      <c r="B20" s="98" t="s">
        <v>163</v>
      </c>
      <c r="C20" s="99" t="s">
        <v>123</v>
      </c>
      <c r="D20" s="97" t="s">
        <v>23</v>
      </c>
      <c r="E20" s="97">
        <v>68</v>
      </c>
      <c r="F20" s="100" t="s">
        <v>73</v>
      </c>
    </row>
    <row r="21" spans="2:12" x14ac:dyDescent="0.25">
      <c r="B21" s="98" t="s">
        <v>162</v>
      </c>
      <c r="C21" s="99" t="s">
        <v>124</v>
      </c>
      <c r="D21" s="97" t="s">
        <v>24</v>
      </c>
      <c r="E21" s="97">
        <v>85</v>
      </c>
      <c r="F21" s="100" t="s">
        <v>74</v>
      </c>
    </row>
    <row r="22" spans="2:12" x14ac:dyDescent="0.25">
      <c r="B22" s="98" t="s">
        <v>162</v>
      </c>
      <c r="C22" s="99" t="s">
        <v>125</v>
      </c>
      <c r="D22" s="97" t="s">
        <v>25</v>
      </c>
      <c r="E22" s="97">
        <v>73</v>
      </c>
      <c r="F22" s="100" t="s">
        <v>75</v>
      </c>
    </row>
    <row r="23" spans="2:12" x14ac:dyDescent="0.25">
      <c r="B23" s="98" t="s">
        <v>163</v>
      </c>
      <c r="C23" s="99" t="s">
        <v>126</v>
      </c>
      <c r="D23" s="97" t="s">
        <v>26</v>
      </c>
      <c r="E23" s="97">
        <v>73</v>
      </c>
      <c r="F23" s="100" t="s">
        <v>76</v>
      </c>
    </row>
    <row r="24" spans="2:12" x14ac:dyDescent="0.25">
      <c r="B24" s="98" t="s">
        <v>162</v>
      </c>
      <c r="C24" s="99" t="s">
        <v>127</v>
      </c>
      <c r="D24" s="97" t="s">
        <v>27</v>
      </c>
      <c r="E24" s="97">
        <v>59</v>
      </c>
      <c r="F24" s="100" t="s">
        <v>77</v>
      </c>
    </row>
    <row r="25" spans="2:12" x14ac:dyDescent="0.25">
      <c r="B25" s="98" t="s">
        <v>162</v>
      </c>
      <c r="C25" s="99" t="s">
        <v>128</v>
      </c>
      <c r="D25" s="97" t="s">
        <v>28</v>
      </c>
      <c r="E25" s="97">
        <v>35</v>
      </c>
      <c r="F25" s="100" t="s">
        <v>78</v>
      </c>
    </row>
    <row r="26" spans="2:12" x14ac:dyDescent="0.25">
      <c r="B26" s="98" t="s">
        <v>162</v>
      </c>
      <c r="C26" s="99" t="s">
        <v>129</v>
      </c>
      <c r="D26" s="97" t="s">
        <v>29</v>
      </c>
      <c r="E26" s="97">
        <v>51</v>
      </c>
      <c r="F26" s="100" t="s">
        <v>79</v>
      </c>
    </row>
    <row r="27" spans="2:12" x14ac:dyDescent="0.25">
      <c r="B27" s="98" t="s">
        <v>163</v>
      </c>
      <c r="C27" s="99" t="s">
        <v>130</v>
      </c>
      <c r="D27" s="97" t="s">
        <v>30</v>
      </c>
      <c r="E27" s="97">
        <v>74</v>
      </c>
      <c r="F27" s="100" t="s">
        <v>80</v>
      </c>
    </row>
    <row r="28" spans="2:12" x14ac:dyDescent="0.25">
      <c r="B28" s="98" t="s">
        <v>162</v>
      </c>
      <c r="C28" s="99" t="s">
        <v>131</v>
      </c>
      <c r="D28" s="97" t="s">
        <v>31</v>
      </c>
      <c r="E28" s="97">
        <v>46</v>
      </c>
      <c r="F28" s="100" t="s">
        <v>81</v>
      </c>
    </row>
    <row r="29" spans="2:12" x14ac:dyDescent="0.25">
      <c r="B29" s="98" t="s">
        <v>162</v>
      </c>
      <c r="C29" s="99" t="s">
        <v>132</v>
      </c>
      <c r="D29" s="97" t="s">
        <v>32</v>
      </c>
      <c r="E29" s="97">
        <v>60</v>
      </c>
      <c r="F29" s="100" t="s">
        <v>82</v>
      </c>
    </row>
    <row r="30" spans="2:12" x14ac:dyDescent="0.25">
      <c r="B30" s="98" t="s">
        <v>162</v>
      </c>
      <c r="C30" s="99" t="s">
        <v>133</v>
      </c>
      <c r="D30" s="97" t="s">
        <v>33</v>
      </c>
      <c r="E30" s="97">
        <v>31</v>
      </c>
      <c r="F30" s="100" t="s">
        <v>83</v>
      </c>
    </row>
    <row r="31" spans="2:12" x14ac:dyDescent="0.25">
      <c r="B31" s="98" t="s">
        <v>162</v>
      </c>
      <c r="C31" s="99" t="s">
        <v>134</v>
      </c>
      <c r="D31" s="97" t="s">
        <v>34</v>
      </c>
      <c r="E31" s="97">
        <v>25</v>
      </c>
      <c r="F31" s="100" t="s">
        <v>84</v>
      </c>
    </row>
    <row r="32" spans="2:12" x14ac:dyDescent="0.25">
      <c r="B32" s="98" t="s">
        <v>163</v>
      </c>
      <c r="C32" s="99" t="s">
        <v>135</v>
      </c>
      <c r="D32" s="97" t="s">
        <v>35</v>
      </c>
      <c r="E32" s="97">
        <v>78</v>
      </c>
      <c r="F32" s="100" t="s">
        <v>85</v>
      </c>
    </row>
    <row r="33" spans="2:6" x14ac:dyDescent="0.25">
      <c r="B33" s="98" t="s">
        <v>162</v>
      </c>
      <c r="C33" s="99" t="s">
        <v>136</v>
      </c>
      <c r="D33" s="97" t="s">
        <v>36</v>
      </c>
      <c r="E33" s="97">
        <v>81</v>
      </c>
      <c r="F33" s="100" t="s">
        <v>86</v>
      </c>
    </row>
    <row r="34" spans="2:6" x14ac:dyDescent="0.25">
      <c r="B34" s="98" t="s">
        <v>162</v>
      </c>
      <c r="C34" s="99" t="s">
        <v>137</v>
      </c>
      <c r="D34" s="97" t="s">
        <v>37</v>
      </c>
      <c r="E34" s="97">
        <v>77</v>
      </c>
      <c r="F34" s="100" t="s">
        <v>87</v>
      </c>
    </row>
    <row r="35" spans="2:6" x14ac:dyDescent="0.25">
      <c r="B35" s="98" t="s">
        <v>163</v>
      </c>
      <c r="C35" s="99" t="s">
        <v>138</v>
      </c>
      <c r="D35" s="97" t="s">
        <v>38</v>
      </c>
      <c r="E35" s="97">
        <v>66</v>
      </c>
      <c r="F35" s="100" t="s">
        <v>88</v>
      </c>
    </row>
    <row r="36" spans="2:6" x14ac:dyDescent="0.25">
      <c r="B36" s="98" t="s">
        <v>162</v>
      </c>
      <c r="C36" s="99" t="s">
        <v>139</v>
      </c>
      <c r="D36" s="97" t="s">
        <v>39</v>
      </c>
      <c r="E36" s="97">
        <v>47</v>
      </c>
      <c r="F36" s="100" t="s">
        <v>89</v>
      </c>
    </row>
    <row r="37" spans="2:6" x14ac:dyDescent="0.25">
      <c r="B37" s="98" t="s">
        <v>162</v>
      </c>
      <c r="C37" s="99" t="s">
        <v>140</v>
      </c>
      <c r="D37" s="97" t="s">
        <v>40</v>
      </c>
      <c r="E37" s="97">
        <v>31</v>
      </c>
      <c r="F37" s="100" t="s">
        <v>90</v>
      </c>
    </row>
    <row r="38" spans="2:6" x14ac:dyDescent="0.25">
      <c r="B38" s="98" t="s">
        <v>162</v>
      </c>
      <c r="C38" s="99" t="s">
        <v>141</v>
      </c>
      <c r="D38" s="97" t="s">
        <v>41</v>
      </c>
      <c r="E38" s="97">
        <v>46</v>
      </c>
      <c r="F38" s="100" t="s">
        <v>91</v>
      </c>
    </row>
    <row r="39" spans="2:6" x14ac:dyDescent="0.25">
      <c r="B39" s="98" t="s">
        <v>163</v>
      </c>
      <c r="C39" s="99" t="s">
        <v>142</v>
      </c>
      <c r="D39" s="97" t="s">
        <v>42</v>
      </c>
      <c r="E39" s="97">
        <v>81</v>
      </c>
      <c r="F39" s="100" t="s">
        <v>92</v>
      </c>
    </row>
    <row r="40" spans="2:6" x14ac:dyDescent="0.25">
      <c r="B40" s="98" t="s">
        <v>162</v>
      </c>
      <c r="C40" s="99" t="s">
        <v>143</v>
      </c>
      <c r="D40" s="97" t="s">
        <v>43</v>
      </c>
      <c r="E40" s="97">
        <v>47</v>
      </c>
      <c r="F40" s="100" t="s">
        <v>93</v>
      </c>
    </row>
    <row r="41" spans="2:6" x14ac:dyDescent="0.25">
      <c r="B41" s="98" t="s">
        <v>162</v>
      </c>
      <c r="C41" s="99" t="s">
        <v>144</v>
      </c>
      <c r="D41" s="97" t="s">
        <v>44</v>
      </c>
      <c r="E41" s="97">
        <v>30</v>
      </c>
      <c r="F41" s="100" t="s">
        <v>94</v>
      </c>
    </row>
    <row r="42" spans="2:6" x14ac:dyDescent="0.25">
      <c r="B42" s="98" t="s">
        <v>162</v>
      </c>
      <c r="C42" s="99" t="s">
        <v>145</v>
      </c>
      <c r="D42" s="97" t="s">
        <v>45</v>
      </c>
      <c r="E42" s="97">
        <v>67</v>
      </c>
      <c r="F42" s="100" t="s">
        <v>95</v>
      </c>
    </row>
    <row r="43" spans="2:6" x14ac:dyDescent="0.25">
      <c r="B43" s="98" t="s">
        <v>162</v>
      </c>
      <c r="C43" s="99" t="s">
        <v>146</v>
      </c>
      <c r="D43" s="97" t="s">
        <v>46</v>
      </c>
      <c r="E43" s="97">
        <v>49</v>
      </c>
      <c r="F43" s="100" t="s">
        <v>96</v>
      </c>
    </row>
    <row r="44" spans="2:6" x14ac:dyDescent="0.25">
      <c r="B44" s="98" t="s">
        <v>163</v>
      </c>
      <c r="C44" s="99" t="s">
        <v>147</v>
      </c>
      <c r="D44" s="97" t="s">
        <v>47</v>
      </c>
      <c r="E44" s="97">
        <v>55</v>
      </c>
      <c r="F44" s="100" t="s">
        <v>97</v>
      </c>
    </row>
    <row r="45" spans="2:6" x14ac:dyDescent="0.25">
      <c r="B45" s="98" t="s">
        <v>162</v>
      </c>
      <c r="C45" s="99" t="s">
        <v>148</v>
      </c>
      <c r="D45" s="97" t="s">
        <v>48</v>
      </c>
      <c r="E45" s="97">
        <v>76</v>
      </c>
      <c r="F45" s="100" t="s">
        <v>98</v>
      </c>
    </row>
    <row r="46" spans="2:6" x14ac:dyDescent="0.25">
      <c r="B46" s="98" t="s">
        <v>162</v>
      </c>
      <c r="C46" s="99" t="s">
        <v>149</v>
      </c>
      <c r="D46" s="97" t="s">
        <v>49</v>
      </c>
      <c r="E46" s="97">
        <v>27</v>
      </c>
      <c r="F46" s="100" t="s">
        <v>99</v>
      </c>
    </row>
    <row r="47" spans="2:6" x14ac:dyDescent="0.25">
      <c r="B47" s="98" t="s">
        <v>163</v>
      </c>
      <c r="C47" s="99" t="s">
        <v>150</v>
      </c>
      <c r="D47" s="97" t="s">
        <v>50</v>
      </c>
      <c r="E47" s="97">
        <v>48</v>
      </c>
      <c r="F47" s="100" t="s">
        <v>100</v>
      </c>
    </row>
    <row r="48" spans="2:6" x14ac:dyDescent="0.25">
      <c r="B48" s="98" t="s">
        <v>162</v>
      </c>
      <c r="C48" s="99" t="s">
        <v>151</v>
      </c>
      <c r="D48" s="97" t="s">
        <v>51</v>
      </c>
      <c r="E48" s="97">
        <v>20</v>
      </c>
      <c r="F48" s="100" t="s">
        <v>101</v>
      </c>
    </row>
    <row r="49" spans="2:6" x14ac:dyDescent="0.25">
      <c r="B49" s="98" t="s">
        <v>162</v>
      </c>
      <c r="C49" s="99" t="s">
        <v>152</v>
      </c>
      <c r="D49" s="97" t="s">
        <v>52</v>
      </c>
      <c r="E49" s="97">
        <v>22</v>
      </c>
      <c r="F49" s="100" t="s">
        <v>102</v>
      </c>
    </row>
    <row r="50" spans="2:6" x14ac:dyDescent="0.25">
      <c r="B50" s="98" t="s">
        <v>162</v>
      </c>
      <c r="C50" s="99" t="s">
        <v>153</v>
      </c>
      <c r="D50" s="97" t="s">
        <v>53</v>
      </c>
      <c r="E50" s="97">
        <v>73</v>
      </c>
      <c r="F50" s="100" t="s">
        <v>103</v>
      </c>
    </row>
    <row r="51" spans="2:6" x14ac:dyDescent="0.25">
      <c r="B51" s="98" t="s">
        <v>163</v>
      </c>
      <c r="C51" s="99" t="s">
        <v>154</v>
      </c>
      <c r="D51" s="97" t="s">
        <v>54</v>
      </c>
      <c r="E51" s="97">
        <v>42</v>
      </c>
      <c r="F51" s="100" t="s">
        <v>104</v>
      </c>
    </row>
    <row r="52" spans="2:6" x14ac:dyDescent="0.25">
      <c r="B52" s="98" t="s">
        <v>162</v>
      </c>
      <c r="C52" s="99" t="s">
        <v>155</v>
      </c>
      <c r="D52" s="97" t="s">
        <v>55</v>
      </c>
      <c r="E52" s="97">
        <v>51</v>
      </c>
      <c r="F52" s="100" t="s">
        <v>105</v>
      </c>
    </row>
    <row r="53" spans="2:6" x14ac:dyDescent="0.25">
      <c r="B53" s="98" t="s">
        <v>162</v>
      </c>
      <c r="C53" s="99" t="s">
        <v>156</v>
      </c>
      <c r="D53" s="97" t="s">
        <v>56</v>
      </c>
      <c r="E53" s="97">
        <v>45</v>
      </c>
      <c r="F53" s="100" t="s">
        <v>106</v>
      </c>
    </row>
    <row r="54" spans="2:6" x14ac:dyDescent="0.25">
      <c r="B54" s="98" t="s">
        <v>162</v>
      </c>
      <c r="C54" s="99" t="s">
        <v>157</v>
      </c>
      <c r="D54" s="97" t="s">
        <v>57</v>
      </c>
      <c r="E54" s="97">
        <v>81</v>
      </c>
      <c r="F54" s="100" t="s">
        <v>107</v>
      </c>
    </row>
    <row r="55" spans="2:6" x14ac:dyDescent="0.25">
      <c r="B55" s="98" t="s">
        <v>162</v>
      </c>
      <c r="C55" s="99" t="s">
        <v>158</v>
      </c>
      <c r="D55" s="97" t="s">
        <v>58</v>
      </c>
      <c r="E55" s="97">
        <v>60</v>
      </c>
      <c r="F55" s="100" t="s">
        <v>108</v>
      </c>
    </row>
    <row r="56" spans="2:6" x14ac:dyDescent="0.25">
      <c r="B56" s="98" t="s">
        <v>163</v>
      </c>
      <c r="C56" s="99" t="s">
        <v>159</v>
      </c>
      <c r="D56" s="97" t="s">
        <v>59</v>
      </c>
      <c r="E56" s="97">
        <v>71</v>
      </c>
      <c r="F56" s="100" t="s">
        <v>109</v>
      </c>
    </row>
    <row r="57" spans="2:6" x14ac:dyDescent="0.25">
      <c r="B57" s="98" t="s">
        <v>162</v>
      </c>
      <c r="C57" s="99" t="s">
        <v>160</v>
      </c>
      <c r="D57" s="97" t="s">
        <v>60</v>
      </c>
      <c r="E57" s="97">
        <v>29</v>
      </c>
      <c r="F57" s="100" t="s">
        <v>110</v>
      </c>
    </row>
    <row r="58" spans="2:6" ht="15.75" thickBot="1" x14ac:dyDescent="0.3">
      <c r="B58" s="102" t="s">
        <v>162</v>
      </c>
      <c r="C58" s="103" t="s">
        <v>161</v>
      </c>
      <c r="D58" s="101" t="s">
        <v>61</v>
      </c>
      <c r="E58" s="101">
        <v>73</v>
      </c>
      <c r="F58" s="104" t="s">
        <v>111</v>
      </c>
    </row>
  </sheetData>
  <sheetProtection algorithmName="SHA-512" hashValue="Ml3NV1VBQ4jJOsHdES/CVF5Vd7uLkcw03efeNNV0aKLxtuAr9aVd9UFOyARrOR+AZ+ihasahqoep8G3lsnx5JA==" saltValue="vMlBHYRFwzKWgk4xhfcN4A==" spinCount="100000" sheet="1" formatColumns="0" formatRows="0" insertColumns="0" deleteColumns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8</xdr:col>
                <xdr:colOff>0</xdr:colOff>
                <xdr:row>22</xdr:row>
                <xdr:rowOff>180975</xdr:rowOff>
              </from>
              <to>
                <xdr:col>9</xdr:col>
                <xdr:colOff>790575</xdr:colOff>
                <xdr:row>25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Line="0" r:id="rId7">
            <anchor moveWithCells="1">
              <from>
                <xdr:col>10</xdr:col>
                <xdr:colOff>438150</xdr:colOff>
                <xdr:row>22</xdr:row>
                <xdr:rowOff>180975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55"/>
  <sheetViews>
    <sheetView workbookViewId="0"/>
  </sheetViews>
  <sheetFormatPr defaultRowHeight="15" x14ac:dyDescent="0.25"/>
  <cols>
    <col min="1" max="1" width="9.140625" style="25"/>
    <col min="2" max="3" width="17.140625" style="25" customWidth="1"/>
    <col min="4" max="4" width="20.28515625" style="25" bestFit="1" customWidth="1"/>
    <col min="5" max="6" width="17.140625" style="25" customWidth="1"/>
    <col min="7" max="8" width="9.140625" style="25"/>
    <col min="9" max="9" width="18.42578125" style="25" customWidth="1"/>
    <col min="10" max="10" width="21.28515625" style="25" customWidth="1"/>
    <col min="11" max="16384" width="9.140625" style="25"/>
  </cols>
  <sheetData>
    <row r="1" spans="1:10" s="24" customFormat="1" x14ac:dyDescent="0.25">
      <c r="A1" s="23" t="s">
        <v>181</v>
      </c>
    </row>
    <row r="2" spans="1:10" s="24" customFormat="1" x14ac:dyDescent="0.25">
      <c r="A2" s="24" t="s">
        <v>185</v>
      </c>
    </row>
    <row r="3" spans="1:10" s="58" customFormat="1" x14ac:dyDescent="0.25"/>
    <row r="6" spans="1:10" x14ac:dyDescent="0.25">
      <c r="B6" s="26" t="s">
        <v>6</v>
      </c>
    </row>
    <row r="7" spans="1:10" ht="15.75" thickBot="1" x14ac:dyDescent="0.3"/>
    <row r="8" spans="1:10" x14ac:dyDescent="0.25">
      <c r="B8" s="55" t="s">
        <v>11</v>
      </c>
      <c r="C8" s="50" t="s">
        <v>162</v>
      </c>
      <c r="D8" s="50" t="s">
        <v>162</v>
      </c>
      <c r="E8" s="50" t="s">
        <v>163</v>
      </c>
      <c r="F8" s="51" t="s">
        <v>162</v>
      </c>
      <c r="G8" s="33"/>
    </row>
    <row r="9" spans="1:10" x14ac:dyDescent="0.25">
      <c r="B9" s="56" t="s">
        <v>10</v>
      </c>
      <c r="C9" s="47" t="s">
        <v>112</v>
      </c>
      <c r="D9" s="47" t="s">
        <v>113</v>
      </c>
      <c r="E9" s="47" t="s">
        <v>115</v>
      </c>
      <c r="F9" s="52" t="s">
        <v>120</v>
      </c>
      <c r="G9" s="33"/>
    </row>
    <row r="10" spans="1:10" x14ac:dyDescent="0.25">
      <c r="B10" s="56" t="s">
        <v>9</v>
      </c>
      <c r="C10" s="47" t="s">
        <v>66</v>
      </c>
      <c r="D10" s="47" t="s">
        <v>75</v>
      </c>
      <c r="E10" s="47" t="s">
        <v>86</v>
      </c>
      <c r="F10" s="52" t="s">
        <v>89</v>
      </c>
      <c r="G10" s="33"/>
    </row>
    <row r="11" spans="1:10" x14ac:dyDescent="0.25">
      <c r="B11" s="56" t="s">
        <v>8</v>
      </c>
      <c r="C11" s="47">
        <v>50</v>
      </c>
      <c r="D11" s="47">
        <v>85</v>
      </c>
      <c r="E11" s="47">
        <v>30</v>
      </c>
      <c r="F11" s="52">
        <v>35</v>
      </c>
      <c r="G11" s="33"/>
    </row>
    <row r="12" spans="1:10" ht="15.75" thickBot="1" x14ac:dyDescent="0.3">
      <c r="B12" s="57" t="s">
        <v>7</v>
      </c>
      <c r="C12" s="53" t="s">
        <v>14</v>
      </c>
      <c r="D12" s="53" t="s">
        <v>13</v>
      </c>
      <c r="E12" s="53" t="s">
        <v>18</v>
      </c>
      <c r="F12" s="54" t="s">
        <v>29</v>
      </c>
      <c r="G12" s="33"/>
    </row>
    <row r="13" spans="1:10" x14ac:dyDescent="0.25">
      <c r="B13" s="33"/>
      <c r="C13" s="32"/>
      <c r="D13" s="33"/>
      <c r="E13" s="33"/>
      <c r="F13" s="33"/>
      <c r="G13" s="33"/>
    </row>
    <row r="14" spans="1:10" x14ac:dyDescent="0.25">
      <c r="B14" s="33"/>
      <c r="C14" s="32"/>
      <c r="D14" s="33"/>
      <c r="E14" s="33"/>
      <c r="F14" s="33"/>
      <c r="G14" s="33"/>
      <c r="I14" s="26" t="s">
        <v>164</v>
      </c>
    </row>
    <row r="15" spans="1:10" ht="15.75" thickBot="1" x14ac:dyDescent="0.3">
      <c r="B15" s="33"/>
      <c r="C15" s="32"/>
      <c r="D15" s="33"/>
      <c r="E15" s="33"/>
      <c r="F15" s="33"/>
      <c r="G15" s="33"/>
    </row>
    <row r="16" spans="1:10" x14ac:dyDescent="0.25">
      <c r="B16" s="33"/>
      <c r="C16" s="32"/>
      <c r="D16" s="33"/>
      <c r="E16" s="33"/>
      <c r="F16" s="33"/>
      <c r="G16" s="33"/>
      <c r="I16" s="27" t="s">
        <v>10</v>
      </c>
      <c r="J16" s="29" t="s">
        <v>7</v>
      </c>
    </row>
    <row r="17" spans="2:10" x14ac:dyDescent="0.25">
      <c r="B17" s="33"/>
      <c r="C17" s="32"/>
      <c r="D17" s="33"/>
      <c r="E17" s="33"/>
      <c r="F17" s="33"/>
      <c r="G17" s="33"/>
      <c r="I17" s="48" t="s">
        <v>113</v>
      </c>
      <c r="J17" s="42"/>
    </row>
    <row r="18" spans="2:10" x14ac:dyDescent="0.25">
      <c r="B18" s="33"/>
      <c r="C18" s="32"/>
      <c r="D18" s="33"/>
      <c r="E18" s="33"/>
      <c r="F18" s="33"/>
      <c r="G18" s="33"/>
      <c r="I18" s="48" t="s">
        <v>120</v>
      </c>
      <c r="J18" s="42"/>
    </row>
    <row r="19" spans="2:10" x14ac:dyDescent="0.25">
      <c r="B19" s="33"/>
      <c r="C19" s="32"/>
      <c r="D19" s="33"/>
      <c r="E19" s="33"/>
      <c r="F19" s="33"/>
      <c r="G19" s="33"/>
      <c r="I19" s="48" t="s">
        <v>115</v>
      </c>
      <c r="J19" s="42"/>
    </row>
    <row r="20" spans="2:10" ht="15.75" thickBot="1" x14ac:dyDescent="0.3">
      <c r="B20" s="33"/>
      <c r="C20" s="32"/>
      <c r="D20" s="33"/>
      <c r="E20" s="33"/>
      <c r="F20" s="33"/>
      <c r="G20" s="33"/>
      <c r="I20" s="49" t="s">
        <v>112</v>
      </c>
      <c r="J20" s="44"/>
    </row>
    <row r="21" spans="2:10" x14ac:dyDescent="0.25">
      <c r="B21" s="33"/>
      <c r="C21" s="32"/>
      <c r="D21" s="33"/>
      <c r="E21" s="33"/>
      <c r="F21" s="33"/>
      <c r="G21" s="33"/>
    </row>
    <row r="22" spans="2:10" x14ac:dyDescent="0.25">
      <c r="B22" s="33"/>
      <c r="C22" s="32"/>
      <c r="D22" s="33"/>
      <c r="E22" s="33"/>
      <c r="F22" s="33"/>
      <c r="G22" s="33"/>
    </row>
    <row r="23" spans="2:10" x14ac:dyDescent="0.25">
      <c r="B23" s="33"/>
      <c r="C23" s="32"/>
      <c r="D23" s="33"/>
      <c r="E23" s="33"/>
      <c r="F23" s="33"/>
      <c r="G23" s="33"/>
    </row>
    <row r="24" spans="2:10" x14ac:dyDescent="0.25">
      <c r="B24" s="33"/>
      <c r="C24" s="32"/>
      <c r="D24" s="33"/>
      <c r="E24" s="33"/>
      <c r="F24" s="33"/>
      <c r="G24" s="33"/>
    </row>
    <row r="25" spans="2:10" x14ac:dyDescent="0.25">
      <c r="B25" s="33"/>
      <c r="C25" s="32"/>
      <c r="D25" s="33"/>
      <c r="E25" s="33"/>
      <c r="F25" s="33"/>
      <c r="G25" s="33"/>
    </row>
    <row r="26" spans="2:10" x14ac:dyDescent="0.25">
      <c r="B26" s="33"/>
      <c r="C26" s="32"/>
      <c r="D26" s="33"/>
      <c r="E26" s="33"/>
      <c r="F26" s="33"/>
      <c r="G26" s="33"/>
    </row>
    <row r="27" spans="2:10" x14ac:dyDescent="0.25">
      <c r="B27" s="33"/>
      <c r="C27" s="32"/>
      <c r="D27" s="33"/>
      <c r="E27" s="33"/>
      <c r="F27" s="33"/>
      <c r="G27" s="33"/>
    </row>
    <row r="28" spans="2:10" x14ac:dyDescent="0.25">
      <c r="B28" s="33"/>
      <c r="C28" s="32"/>
      <c r="D28" s="33"/>
      <c r="E28" s="33"/>
      <c r="F28" s="33"/>
      <c r="G28" s="33"/>
    </row>
    <row r="29" spans="2:10" x14ac:dyDescent="0.25">
      <c r="B29" s="33"/>
      <c r="C29" s="32"/>
      <c r="D29" s="33"/>
      <c r="E29" s="33"/>
      <c r="F29" s="33"/>
      <c r="G29" s="33"/>
    </row>
    <row r="30" spans="2:10" x14ac:dyDescent="0.25">
      <c r="B30" s="33"/>
      <c r="C30" s="32"/>
      <c r="D30" s="33"/>
      <c r="E30" s="33"/>
      <c r="F30" s="33"/>
      <c r="G30" s="33"/>
    </row>
    <row r="31" spans="2:10" x14ac:dyDescent="0.25">
      <c r="B31" s="33"/>
      <c r="C31" s="32"/>
      <c r="D31" s="33"/>
      <c r="E31" s="33"/>
      <c r="F31" s="33"/>
      <c r="G31" s="33"/>
    </row>
    <row r="32" spans="2:10" x14ac:dyDescent="0.25">
      <c r="B32" s="33"/>
      <c r="C32" s="32"/>
      <c r="D32" s="33"/>
      <c r="E32" s="33"/>
      <c r="F32" s="33"/>
      <c r="G32" s="33"/>
    </row>
    <row r="33" spans="2:7" x14ac:dyDescent="0.25">
      <c r="B33" s="33"/>
      <c r="C33" s="32"/>
      <c r="D33" s="33"/>
      <c r="E33" s="33"/>
      <c r="F33" s="33"/>
      <c r="G33" s="33"/>
    </row>
    <row r="34" spans="2:7" x14ac:dyDescent="0.25">
      <c r="B34" s="33"/>
      <c r="C34" s="32"/>
      <c r="D34" s="33"/>
      <c r="E34" s="33"/>
      <c r="F34" s="33"/>
      <c r="G34" s="33"/>
    </row>
    <row r="35" spans="2:7" x14ac:dyDescent="0.25">
      <c r="B35" s="33"/>
      <c r="C35" s="32"/>
      <c r="D35" s="33"/>
      <c r="E35" s="33"/>
      <c r="F35" s="33"/>
      <c r="G35" s="33"/>
    </row>
    <row r="36" spans="2:7" x14ac:dyDescent="0.25">
      <c r="B36" s="33"/>
      <c r="C36" s="32"/>
      <c r="D36" s="33"/>
      <c r="E36" s="33"/>
      <c r="F36" s="33"/>
      <c r="G36" s="33"/>
    </row>
    <row r="37" spans="2:7" x14ac:dyDescent="0.25">
      <c r="B37" s="33"/>
      <c r="C37" s="32"/>
      <c r="D37" s="33"/>
      <c r="E37" s="33"/>
      <c r="F37" s="33"/>
      <c r="G37" s="33"/>
    </row>
    <row r="38" spans="2:7" x14ac:dyDescent="0.25">
      <c r="B38" s="33"/>
      <c r="C38" s="32"/>
      <c r="D38" s="33"/>
      <c r="E38" s="33"/>
      <c r="F38" s="33"/>
      <c r="G38" s="33"/>
    </row>
    <row r="39" spans="2:7" x14ac:dyDescent="0.25">
      <c r="B39" s="33"/>
      <c r="C39" s="32"/>
      <c r="D39" s="33"/>
      <c r="E39" s="33"/>
      <c r="F39" s="33"/>
      <c r="G39" s="33"/>
    </row>
    <row r="40" spans="2:7" x14ac:dyDescent="0.25">
      <c r="B40" s="33"/>
      <c r="C40" s="32"/>
      <c r="D40" s="33"/>
      <c r="E40" s="33"/>
      <c r="F40" s="33"/>
      <c r="G40" s="33"/>
    </row>
    <row r="41" spans="2:7" x14ac:dyDescent="0.25">
      <c r="B41" s="33"/>
      <c r="C41" s="32"/>
      <c r="D41" s="33"/>
      <c r="E41" s="33"/>
      <c r="F41" s="33"/>
      <c r="G41" s="33"/>
    </row>
    <row r="42" spans="2:7" x14ac:dyDescent="0.25">
      <c r="B42" s="33"/>
      <c r="C42" s="32"/>
      <c r="D42" s="33"/>
      <c r="E42" s="33"/>
      <c r="F42" s="33"/>
      <c r="G42" s="33"/>
    </row>
    <row r="43" spans="2:7" x14ac:dyDescent="0.25">
      <c r="B43" s="33"/>
      <c r="C43" s="32"/>
      <c r="D43" s="33"/>
      <c r="E43" s="33"/>
      <c r="F43" s="33"/>
      <c r="G43" s="33"/>
    </row>
    <row r="44" spans="2:7" x14ac:dyDescent="0.25">
      <c r="B44" s="33"/>
      <c r="C44" s="32"/>
      <c r="D44" s="33"/>
      <c r="E44" s="33"/>
      <c r="F44" s="33"/>
      <c r="G44" s="33"/>
    </row>
    <row r="45" spans="2:7" x14ac:dyDescent="0.25">
      <c r="B45" s="33"/>
      <c r="C45" s="32"/>
      <c r="D45" s="33"/>
      <c r="E45" s="33"/>
      <c r="F45" s="33"/>
      <c r="G45" s="33"/>
    </row>
    <row r="46" spans="2:7" x14ac:dyDescent="0.25">
      <c r="B46" s="33"/>
      <c r="C46" s="32"/>
      <c r="D46" s="33"/>
      <c r="E46" s="33"/>
      <c r="F46" s="33"/>
      <c r="G46" s="33"/>
    </row>
    <row r="47" spans="2:7" x14ac:dyDescent="0.25">
      <c r="B47" s="33"/>
      <c r="C47" s="32"/>
      <c r="D47" s="33"/>
      <c r="E47" s="33"/>
      <c r="F47" s="33"/>
      <c r="G47" s="33"/>
    </row>
    <row r="48" spans="2:7" x14ac:dyDescent="0.25">
      <c r="B48" s="33"/>
      <c r="C48" s="32"/>
      <c r="D48" s="33"/>
      <c r="E48" s="33"/>
      <c r="F48" s="33"/>
      <c r="G48" s="33"/>
    </row>
    <row r="49" spans="2:7" x14ac:dyDescent="0.25">
      <c r="B49" s="33"/>
      <c r="C49" s="32"/>
      <c r="D49" s="33"/>
      <c r="E49" s="33"/>
      <c r="F49" s="33"/>
      <c r="G49" s="33"/>
    </row>
    <row r="50" spans="2:7" x14ac:dyDescent="0.25">
      <c r="B50" s="33"/>
      <c r="C50" s="32"/>
      <c r="D50" s="33"/>
      <c r="E50" s="33"/>
      <c r="F50" s="33"/>
      <c r="G50" s="33"/>
    </row>
    <row r="51" spans="2:7" x14ac:dyDescent="0.25">
      <c r="B51" s="33"/>
      <c r="C51" s="32"/>
      <c r="D51" s="33"/>
      <c r="E51" s="33"/>
      <c r="F51" s="33"/>
      <c r="G51" s="33"/>
    </row>
    <row r="52" spans="2:7" x14ac:dyDescent="0.25">
      <c r="B52" s="33"/>
      <c r="C52" s="32"/>
      <c r="D52" s="33"/>
      <c r="E52" s="33"/>
      <c r="F52" s="33"/>
      <c r="G52" s="33"/>
    </row>
    <row r="53" spans="2:7" x14ac:dyDescent="0.25">
      <c r="B53" s="33"/>
      <c r="C53" s="33"/>
      <c r="D53" s="33"/>
      <c r="E53" s="33"/>
      <c r="F53" s="33"/>
      <c r="G53" s="33"/>
    </row>
    <row r="54" spans="2:7" x14ac:dyDescent="0.25">
      <c r="B54" s="33"/>
      <c r="C54" s="33"/>
      <c r="D54" s="33"/>
      <c r="E54" s="33"/>
      <c r="F54" s="33"/>
      <c r="G54" s="33"/>
    </row>
    <row r="55" spans="2:7" x14ac:dyDescent="0.25">
      <c r="B55" s="33"/>
      <c r="C55" s="33"/>
      <c r="D55" s="33"/>
      <c r="E55" s="33"/>
      <c r="F55" s="33"/>
      <c r="G55" s="33"/>
    </row>
  </sheetData>
  <sheetProtection algorithmName="SHA-512" hashValue="TRv56ZUJg3vO1GL9+j5v8l/9OFnSxzYKF+9HAjlJdEcMn0AXy9MqAXzVttCriW9XqwTdSP3BMvGuBcckuB69UQ==" saltValue="Sx9wriDCAL3Xle+IGtWciQ==" spinCount="100000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7</xdr:col>
                <xdr:colOff>600075</xdr:colOff>
                <xdr:row>22</xdr:row>
                <xdr:rowOff>180975</xdr:rowOff>
              </from>
              <to>
                <xdr:col>9</xdr:col>
                <xdr:colOff>161925</xdr:colOff>
                <xdr:row>25</xdr:row>
                <xdr:rowOff>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9</xdr:col>
                <xdr:colOff>971550</xdr:colOff>
                <xdr:row>23</xdr:row>
                <xdr:rowOff>9525</xdr:rowOff>
              </from>
              <to>
                <xdr:col>11</xdr:col>
                <xdr:colOff>342900</xdr:colOff>
                <xdr:row>25</xdr:row>
                <xdr:rowOff>19050</xdr:rowOff>
              </to>
            </anchor>
          </controlPr>
        </control>
      </mc:Choice>
      <mc:Fallback>
        <control shapeId="8194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55"/>
  <sheetViews>
    <sheetView showGridLines="0" showRowColHeaders="0" workbookViewId="0">
      <selection activeCell="H26" sqref="H26"/>
    </sheetView>
  </sheetViews>
  <sheetFormatPr defaultRowHeight="15" x14ac:dyDescent="0.25"/>
  <cols>
    <col min="1" max="1" width="9.140625" style="25"/>
    <col min="2" max="3" width="17.140625" style="25" customWidth="1"/>
    <col min="4" max="4" width="20.28515625" style="25" bestFit="1" customWidth="1"/>
    <col min="5" max="5" width="4.28515625" style="25" customWidth="1"/>
    <col min="6" max="6" width="17.140625" style="25" customWidth="1"/>
    <col min="7" max="7" width="4.140625" style="25" customWidth="1"/>
    <col min="8" max="8" width="17.140625" style="25" customWidth="1"/>
    <col min="9" max="9" width="4.7109375" style="25" customWidth="1"/>
    <col min="10" max="16384" width="9.140625" style="25"/>
  </cols>
  <sheetData>
    <row r="1" spans="1:10" s="24" customFormat="1" x14ac:dyDescent="0.25">
      <c r="A1" s="23" t="s">
        <v>171</v>
      </c>
    </row>
    <row r="2" spans="1:10" s="24" customFormat="1" x14ac:dyDescent="0.25"/>
    <row r="3" spans="1:10" s="58" customFormat="1" x14ac:dyDescent="0.25"/>
    <row r="4" spans="1:10" ht="15.75" x14ac:dyDescent="0.25">
      <c r="C4" s="105" t="s">
        <v>179</v>
      </c>
      <c r="D4" s="26">
        <f>SUM(E9:E18,G22:G31,I22:I31)</f>
        <v>0</v>
      </c>
      <c r="E4" s="88" t="s">
        <v>178</v>
      </c>
      <c r="F4" s="87">
        <v>30</v>
      </c>
      <c r="H4" s="89">
        <f>D4/F4</f>
        <v>0</v>
      </c>
    </row>
    <row r="5" spans="1:10" ht="15.75" x14ac:dyDescent="0.25">
      <c r="C5" s="105" t="s">
        <v>180</v>
      </c>
      <c r="D5" s="26">
        <f>SUM(E35:E38)</f>
        <v>0</v>
      </c>
      <c r="E5" s="88" t="s">
        <v>178</v>
      </c>
      <c r="F5" s="106">
        <v>4</v>
      </c>
      <c r="H5" s="89">
        <f>D5/F5</f>
        <v>0</v>
      </c>
    </row>
    <row r="6" spans="1:10" ht="15.75" thickBot="1" x14ac:dyDescent="0.3">
      <c r="B6" s="45"/>
      <c r="C6" s="36"/>
      <c r="D6" s="36"/>
      <c r="E6" s="36"/>
      <c r="F6" s="36"/>
      <c r="G6" s="36"/>
      <c r="H6" s="36"/>
      <c r="I6" s="36"/>
      <c r="J6" s="36"/>
    </row>
    <row r="7" spans="1:10" x14ac:dyDescent="0.25">
      <c r="B7" s="36"/>
      <c r="C7" s="68" t="s">
        <v>5</v>
      </c>
      <c r="D7" s="50"/>
      <c r="E7" s="50"/>
      <c r="F7" s="50"/>
      <c r="G7" s="50"/>
      <c r="H7" s="51"/>
      <c r="I7" s="46"/>
      <c r="J7" s="36"/>
    </row>
    <row r="8" spans="1:10" x14ac:dyDescent="0.25">
      <c r="B8" s="45"/>
      <c r="C8" s="69" t="s">
        <v>165</v>
      </c>
      <c r="D8" s="46" t="s">
        <v>10</v>
      </c>
      <c r="E8" s="46"/>
      <c r="F8" s="46" t="s">
        <v>166</v>
      </c>
      <c r="G8" s="46"/>
      <c r="H8" s="59" t="s">
        <v>7</v>
      </c>
      <c r="I8" s="46"/>
      <c r="J8" s="36"/>
    </row>
    <row r="9" spans="1:10" x14ac:dyDescent="0.25">
      <c r="B9" s="45"/>
      <c r="C9" s="70">
        <v>1</v>
      </c>
      <c r="D9" s="66">
        <f>Key!H9</f>
        <v>0</v>
      </c>
      <c r="E9" s="81">
        <f>Key!L9</f>
        <v>0</v>
      </c>
      <c r="F9" s="46" t="s">
        <v>167</v>
      </c>
      <c r="G9" s="46"/>
      <c r="H9" s="59" t="s">
        <v>22</v>
      </c>
      <c r="I9" s="46"/>
      <c r="J9" s="36"/>
    </row>
    <row r="10" spans="1:10" x14ac:dyDescent="0.25">
      <c r="B10" s="45"/>
      <c r="C10" s="71">
        <v>2</v>
      </c>
      <c r="D10" s="66">
        <f>Key!H10</f>
        <v>0</v>
      </c>
      <c r="E10" s="81">
        <f>Key!L10</f>
        <v>0</v>
      </c>
      <c r="F10" s="36" t="s">
        <v>167</v>
      </c>
      <c r="G10" s="36"/>
      <c r="H10" s="72" t="s">
        <v>40</v>
      </c>
      <c r="I10" s="36"/>
      <c r="J10" s="36"/>
    </row>
    <row r="11" spans="1:10" x14ac:dyDescent="0.25">
      <c r="B11" s="45"/>
      <c r="C11" s="71">
        <v>3</v>
      </c>
      <c r="D11" s="66">
        <f>Key!H11</f>
        <v>0</v>
      </c>
      <c r="E11" s="81">
        <f>Key!L11</f>
        <v>0</v>
      </c>
      <c r="F11" s="36" t="s">
        <v>168</v>
      </c>
      <c r="G11" s="36"/>
      <c r="H11" s="72" t="s">
        <v>61</v>
      </c>
      <c r="I11" s="36"/>
      <c r="J11" s="36"/>
    </row>
    <row r="12" spans="1:10" x14ac:dyDescent="0.25">
      <c r="B12" s="45"/>
      <c r="C12" s="71">
        <v>4</v>
      </c>
      <c r="D12" s="66">
        <f>Key!H12</f>
        <v>0</v>
      </c>
      <c r="E12" s="81">
        <f>Key!L12</f>
        <v>0</v>
      </c>
      <c r="F12" s="36" t="s">
        <v>167</v>
      </c>
      <c r="G12" s="36"/>
      <c r="H12" s="72" t="s">
        <v>37</v>
      </c>
      <c r="I12" s="36"/>
      <c r="J12" s="36"/>
    </row>
    <row r="13" spans="1:10" x14ac:dyDescent="0.25">
      <c r="B13" s="36"/>
      <c r="C13" s="71">
        <v>5</v>
      </c>
      <c r="D13" s="66">
        <f>Key!H13</f>
        <v>0</v>
      </c>
      <c r="E13" s="81">
        <f>Key!L13</f>
        <v>0</v>
      </c>
      <c r="F13" s="36" t="s">
        <v>167</v>
      </c>
      <c r="G13" s="36"/>
      <c r="H13" s="72" t="s">
        <v>20</v>
      </c>
      <c r="I13" s="36"/>
      <c r="J13" s="36"/>
    </row>
    <row r="14" spans="1:10" x14ac:dyDescent="0.25">
      <c r="B14" s="36"/>
      <c r="C14" s="71">
        <v>6</v>
      </c>
      <c r="D14" s="66">
        <f>Key!H14</f>
        <v>0</v>
      </c>
      <c r="E14" s="81">
        <f>Key!L14</f>
        <v>0</v>
      </c>
      <c r="F14" s="36" t="s">
        <v>167</v>
      </c>
      <c r="G14" s="36"/>
      <c r="H14" s="72" t="s">
        <v>44</v>
      </c>
      <c r="I14" s="36"/>
      <c r="J14" s="36"/>
    </row>
    <row r="15" spans="1:10" x14ac:dyDescent="0.25">
      <c r="B15" s="36"/>
      <c r="C15" s="71">
        <v>7</v>
      </c>
      <c r="D15" s="66">
        <f>Key!H15</f>
        <v>0</v>
      </c>
      <c r="E15" s="81">
        <f>Key!L15</f>
        <v>0</v>
      </c>
      <c r="F15" s="36" t="s">
        <v>167</v>
      </c>
      <c r="G15" s="36"/>
      <c r="H15" s="72" t="s">
        <v>34</v>
      </c>
      <c r="I15" s="36"/>
      <c r="J15" s="36"/>
    </row>
    <row r="16" spans="1:10" x14ac:dyDescent="0.25">
      <c r="B16" s="36"/>
      <c r="C16" s="71">
        <v>8</v>
      </c>
      <c r="D16" s="66">
        <f>Key!H16</f>
        <v>0</v>
      </c>
      <c r="E16" s="81">
        <f>Key!L16</f>
        <v>0</v>
      </c>
      <c r="F16" s="36" t="s">
        <v>168</v>
      </c>
      <c r="G16" s="36"/>
      <c r="H16" s="72" t="s">
        <v>51</v>
      </c>
      <c r="I16" s="36"/>
      <c r="J16" s="36"/>
    </row>
    <row r="17" spans="2:10" x14ac:dyDescent="0.25">
      <c r="B17" s="36"/>
      <c r="C17" s="71">
        <v>9</v>
      </c>
      <c r="D17" s="66">
        <f>Key!H17</f>
        <v>0</v>
      </c>
      <c r="E17" s="81">
        <f>Key!L17</f>
        <v>0</v>
      </c>
      <c r="F17" s="36" t="s">
        <v>167</v>
      </c>
      <c r="G17" s="36"/>
      <c r="H17" s="72" t="s">
        <v>13</v>
      </c>
      <c r="I17" s="36"/>
      <c r="J17" s="36"/>
    </row>
    <row r="18" spans="2:10" ht="15.75" thickBot="1" x14ac:dyDescent="0.3">
      <c r="B18" s="36"/>
      <c r="C18" s="73">
        <v>10</v>
      </c>
      <c r="D18" s="107">
        <f>Key!H18</f>
        <v>0</v>
      </c>
      <c r="E18" s="82">
        <f>Key!L18</f>
        <v>0</v>
      </c>
      <c r="F18" s="38" t="s">
        <v>167</v>
      </c>
      <c r="G18" s="38"/>
      <c r="H18" s="75" t="s">
        <v>43</v>
      </c>
      <c r="I18" s="36"/>
      <c r="J18" s="36"/>
    </row>
    <row r="19" spans="2:10" ht="15.75" thickBot="1" x14ac:dyDescent="0.3">
      <c r="B19" s="36"/>
      <c r="C19" s="60"/>
      <c r="D19" s="36"/>
      <c r="E19" s="36"/>
      <c r="F19" s="36"/>
      <c r="G19" s="36"/>
      <c r="H19" s="36"/>
      <c r="I19" s="36"/>
      <c r="J19" s="36"/>
    </row>
    <row r="20" spans="2:10" x14ac:dyDescent="0.25">
      <c r="B20" s="36"/>
      <c r="C20" s="68" t="s">
        <v>169</v>
      </c>
      <c r="D20" s="76"/>
      <c r="E20" s="76"/>
      <c r="F20" s="76"/>
      <c r="G20" s="76"/>
      <c r="H20" s="76"/>
      <c r="I20" s="77"/>
      <c r="J20" s="36"/>
    </row>
    <row r="21" spans="2:10" x14ac:dyDescent="0.25">
      <c r="B21" s="36"/>
      <c r="C21" s="35" t="s">
        <v>165</v>
      </c>
      <c r="D21" s="33" t="s">
        <v>7</v>
      </c>
      <c r="E21" s="33"/>
      <c r="F21" s="33" t="s">
        <v>10</v>
      </c>
      <c r="G21" s="33"/>
      <c r="H21" s="33" t="s">
        <v>11</v>
      </c>
      <c r="I21" s="34"/>
      <c r="J21" s="36"/>
    </row>
    <row r="22" spans="2:10" x14ac:dyDescent="0.25">
      <c r="B22" s="36"/>
      <c r="C22" s="35">
        <v>1</v>
      </c>
      <c r="D22" s="33" t="s">
        <v>22</v>
      </c>
      <c r="E22" s="33"/>
      <c r="F22" s="67">
        <f>Key!H22</f>
        <v>0</v>
      </c>
      <c r="G22" s="83">
        <f>Key!L22</f>
        <v>0</v>
      </c>
      <c r="H22" s="67">
        <f>Key!I22</f>
        <v>0</v>
      </c>
      <c r="I22" s="85">
        <f>Key!M22</f>
        <v>0</v>
      </c>
      <c r="J22" s="36"/>
    </row>
    <row r="23" spans="2:10" x14ac:dyDescent="0.25">
      <c r="B23" s="36"/>
      <c r="C23" s="35">
        <v>2</v>
      </c>
      <c r="D23" s="33" t="s">
        <v>40</v>
      </c>
      <c r="E23" s="33"/>
      <c r="F23" s="67">
        <f>Key!H23</f>
        <v>0</v>
      </c>
      <c r="G23" s="83">
        <f>Key!L23</f>
        <v>0</v>
      </c>
      <c r="H23" s="67">
        <f>Key!I23</f>
        <v>0</v>
      </c>
      <c r="I23" s="85">
        <f>Key!M23</f>
        <v>0</v>
      </c>
      <c r="J23" s="36"/>
    </row>
    <row r="24" spans="2:10" x14ac:dyDescent="0.25">
      <c r="B24" s="33"/>
      <c r="C24" s="35">
        <v>3</v>
      </c>
      <c r="D24" s="33" t="s">
        <v>18</v>
      </c>
      <c r="E24" s="33"/>
      <c r="F24" s="67">
        <f>Key!H24</f>
        <v>0</v>
      </c>
      <c r="G24" s="83">
        <f>Key!L24</f>
        <v>0</v>
      </c>
      <c r="H24" s="67">
        <f>Key!I24</f>
        <v>0</v>
      </c>
      <c r="I24" s="85">
        <f>Key!M24</f>
        <v>0</v>
      </c>
      <c r="J24" s="33"/>
    </row>
    <row r="25" spans="2:10" x14ac:dyDescent="0.25">
      <c r="B25" s="33"/>
      <c r="C25" s="35">
        <v>4</v>
      </c>
      <c r="D25" s="33" t="s">
        <v>37</v>
      </c>
      <c r="E25" s="36"/>
      <c r="F25" s="67">
        <f>Key!H25</f>
        <v>0</v>
      </c>
      <c r="G25" s="83">
        <f>Key!L25</f>
        <v>0</v>
      </c>
      <c r="H25" s="67">
        <f>Key!I25</f>
        <v>0</v>
      </c>
      <c r="I25" s="85">
        <f>Key!M25</f>
        <v>0</v>
      </c>
      <c r="J25" s="33"/>
    </row>
    <row r="26" spans="2:10" x14ac:dyDescent="0.25">
      <c r="B26" s="33"/>
      <c r="C26" s="35">
        <v>5</v>
      </c>
      <c r="D26" s="33" t="s">
        <v>20</v>
      </c>
      <c r="E26" s="36"/>
      <c r="F26" s="67">
        <f>Key!H26</f>
        <v>0</v>
      </c>
      <c r="G26" s="83">
        <f>Key!L26</f>
        <v>0</v>
      </c>
      <c r="H26" s="67">
        <f>Key!I26</f>
        <v>0</v>
      </c>
      <c r="I26" s="85">
        <f>Key!M26</f>
        <v>0</v>
      </c>
      <c r="J26" s="33"/>
    </row>
    <row r="27" spans="2:10" x14ac:dyDescent="0.25">
      <c r="B27" s="33"/>
      <c r="C27" s="35">
        <v>6</v>
      </c>
      <c r="D27" s="33" t="s">
        <v>44</v>
      </c>
      <c r="E27" s="36"/>
      <c r="F27" s="67">
        <f>Key!H27</f>
        <v>0</v>
      </c>
      <c r="G27" s="83">
        <f>Key!L27</f>
        <v>0</v>
      </c>
      <c r="H27" s="67">
        <f>Key!I27</f>
        <v>0</v>
      </c>
      <c r="I27" s="85">
        <f>Key!M27</f>
        <v>0</v>
      </c>
      <c r="J27" s="33"/>
    </row>
    <row r="28" spans="2:10" x14ac:dyDescent="0.25">
      <c r="B28" s="33"/>
      <c r="C28" s="35">
        <v>7</v>
      </c>
      <c r="D28" s="33" t="s">
        <v>34</v>
      </c>
      <c r="E28" s="36"/>
      <c r="F28" s="67">
        <f>Key!H28</f>
        <v>0</v>
      </c>
      <c r="G28" s="83">
        <f>Key!L28</f>
        <v>0</v>
      </c>
      <c r="H28" s="67">
        <f>Key!I28</f>
        <v>0</v>
      </c>
      <c r="I28" s="85">
        <f>Key!M28</f>
        <v>0</v>
      </c>
      <c r="J28" s="33"/>
    </row>
    <row r="29" spans="2:10" x14ac:dyDescent="0.25">
      <c r="B29" s="33"/>
      <c r="C29" s="35">
        <v>8</v>
      </c>
      <c r="D29" s="33" t="s">
        <v>51</v>
      </c>
      <c r="E29" s="36"/>
      <c r="F29" s="67">
        <f>Key!H29</f>
        <v>0</v>
      </c>
      <c r="G29" s="83">
        <f>Key!L29</f>
        <v>0</v>
      </c>
      <c r="H29" s="67">
        <f>Key!I29</f>
        <v>0</v>
      </c>
      <c r="I29" s="85">
        <f>Key!M29</f>
        <v>0</v>
      </c>
      <c r="J29" s="33"/>
    </row>
    <row r="30" spans="2:10" x14ac:dyDescent="0.25">
      <c r="B30" s="33"/>
      <c r="C30" s="35">
        <v>9</v>
      </c>
      <c r="D30" s="33" t="s">
        <v>13</v>
      </c>
      <c r="E30" s="36"/>
      <c r="F30" s="67">
        <f>Key!H30</f>
        <v>0</v>
      </c>
      <c r="G30" s="83">
        <f>Key!L30</f>
        <v>0</v>
      </c>
      <c r="H30" s="67">
        <f>Key!I30</f>
        <v>0</v>
      </c>
      <c r="I30" s="85">
        <f>Key!M30</f>
        <v>0</v>
      </c>
      <c r="J30" s="33"/>
    </row>
    <row r="31" spans="2:10" ht="15.75" thickBot="1" x14ac:dyDescent="0.3">
      <c r="B31" s="33"/>
      <c r="C31" s="37">
        <v>10</v>
      </c>
      <c r="D31" s="39" t="s">
        <v>43</v>
      </c>
      <c r="E31" s="39"/>
      <c r="F31" s="74">
        <f>Key!H31</f>
        <v>0</v>
      </c>
      <c r="G31" s="84">
        <f>Key!L31</f>
        <v>0</v>
      </c>
      <c r="H31" s="74">
        <f>Key!I31</f>
        <v>0</v>
      </c>
      <c r="I31" s="86">
        <f>Key!M31</f>
        <v>0</v>
      </c>
      <c r="J31" s="33"/>
    </row>
    <row r="32" spans="2:10" ht="15.75" thickBot="1" x14ac:dyDescent="0.3">
      <c r="B32" s="33"/>
      <c r="J32" s="33"/>
    </row>
    <row r="33" spans="2:10" x14ac:dyDescent="0.25">
      <c r="B33" s="33"/>
      <c r="C33" s="78" t="s">
        <v>172</v>
      </c>
      <c r="D33" s="79"/>
      <c r="E33" s="79"/>
      <c r="F33" s="79"/>
      <c r="G33" s="79"/>
      <c r="H33" s="80"/>
      <c r="I33" s="33"/>
      <c r="J33" s="33"/>
    </row>
    <row r="34" spans="2:10" x14ac:dyDescent="0.25">
      <c r="B34" s="33"/>
      <c r="C34" s="31" t="s">
        <v>10</v>
      </c>
      <c r="D34" s="33" t="s">
        <v>7</v>
      </c>
      <c r="E34" s="33"/>
      <c r="F34" s="33"/>
      <c r="G34" s="33"/>
      <c r="H34" s="34"/>
      <c r="I34" s="33"/>
      <c r="J34" s="33"/>
    </row>
    <row r="35" spans="2:10" x14ac:dyDescent="0.25">
      <c r="B35" s="33"/>
      <c r="C35" s="35" t="s">
        <v>113</v>
      </c>
      <c r="D35" s="67">
        <f>Key!H35</f>
        <v>0</v>
      </c>
      <c r="E35" s="83">
        <f>Key!L35</f>
        <v>0</v>
      </c>
      <c r="F35" s="33"/>
      <c r="G35" s="33"/>
      <c r="H35" s="34"/>
      <c r="I35" s="33"/>
      <c r="J35" s="33"/>
    </row>
    <row r="36" spans="2:10" x14ac:dyDescent="0.25">
      <c r="B36" s="33"/>
      <c r="C36" s="35" t="s">
        <v>120</v>
      </c>
      <c r="D36" s="67">
        <f>Key!H36</f>
        <v>0</v>
      </c>
      <c r="E36" s="83">
        <f>Key!L36</f>
        <v>0</v>
      </c>
      <c r="F36" s="33"/>
      <c r="G36" s="33"/>
      <c r="H36" s="34"/>
      <c r="I36" s="33"/>
      <c r="J36" s="33"/>
    </row>
    <row r="37" spans="2:10" x14ac:dyDescent="0.25">
      <c r="B37" s="33"/>
      <c r="C37" s="35" t="s">
        <v>115</v>
      </c>
      <c r="D37" s="67">
        <f>Key!H37</f>
        <v>0</v>
      </c>
      <c r="E37" s="83">
        <f>Key!L37</f>
        <v>0</v>
      </c>
      <c r="F37" s="33"/>
      <c r="G37" s="33"/>
      <c r="H37" s="34"/>
      <c r="I37" s="33"/>
      <c r="J37" s="33"/>
    </row>
    <row r="38" spans="2:10" ht="15.75" thickBot="1" x14ac:dyDescent="0.3">
      <c r="B38" s="33"/>
      <c r="C38" s="37" t="s">
        <v>112</v>
      </c>
      <c r="D38" s="74">
        <f>Key!H38</f>
        <v>0</v>
      </c>
      <c r="E38" s="84">
        <f>Key!L38</f>
        <v>0</v>
      </c>
      <c r="F38" s="39"/>
      <c r="G38" s="39"/>
      <c r="H38" s="40"/>
      <c r="I38" s="33"/>
      <c r="J38" s="33"/>
    </row>
    <row r="39" spans="2:10" x14ac:dyDescent="0.25">
      <c r="B39" s="33"/>
      <c r="C39" s="32"/>
      <c r="D39" s="33"/>
      <c r="E39" s="33"/>
      <c r="F39" s="33"/>
      <c r="G39" s="33"/>
      <c r="H39" s="33"/>
      <c r="I39" s="33"/>
      <c r="J39" s="33"/>
    </row>
    <row r="40" spans="2:10" x14ac:dyDescent="0.25">
      <c r="B40" s="33"/>
      <c r="C40" s="32"/>
      <c r="D40" s="33"/>
      <c r="E40" s="33"/>
      <c r="F40" s="33"/>
      <c r="G40" s="33"/>
      <c r="H40" s="33"/>
      <c r="I40" s="33"/>
      <c r="J40" s="33"/>
    </row>
    <row r="41" spans="2:10" x14ac:dyDescent="0.25">
      <c r="B41" s="33"/>
      <c r="C41" s="32"/>
      <c r="D41" s="33"/>
      <c r="E41" s="33"/>
      <c r="F41" s="33"/>
      <c r="G41" s="33"/>
      <c r="H41" s="33"/>
      <c r="I41" s="33"/>
      <c r="J41" s="33"/>
    </row>
    <row r="42" spans="2:10" x14ac:dyDescent="0.25">
      <c r="B42" s="33"/>
      <c r="C42" s="32"/>
      <c r="D42" s="33"/>
      <c r="E42" s="33"/>
      <c r="F42" s="33"/>
      <c r="G42" s="33"/>
      <c r="H42" s="33"/>
      <c r="I42" s="33"/>
      <c r="J42" s="33"/>
    </row>
    <row r="43" spans="2:10" x14ac:dyDescent="0.25">
      <c r="B43" s="33"/>
      <c r="C43" s="32"/>
      <c r="D43" s="33"/>
      <c r="E43" s="33"/>
      <c r="F43" s="33"/>
      <c r="G43" s="33"/>
      <c r="H43" s="33"/>
      <c r="I43" s="33"/>
      <c r="J43" s="33"/>
    </row>
    <row r="44" spans="2:10" x14ac:dyDescent="0.25">
      <c r="B44" s="33"/>
      <c r="C44" s="32"/>
      <c r="D44" s="33"/>
      <c r="E44" s="33"/>
      <c r="F44" s="33"/>
      <c r="G44" s="33"/>
      <c r="H44" s="33"/>
      <c r="I44" s="33"/>
      <c r="J44" s="33"/>
    </row>
    <row r="45" spans="2:10" x14ac:dyDescent="0.25">
      <c r="B45" s="33"/>
      <c r="C45" s="32"/>
      <c r="D45" s="33"/>
      <c r="E45" s="33"/>
      <c r="F45" s="33"/>
      <c r="G45" s="33"/>
      <c r="H45" s="33"/>
      <c r="I45" s="33"/>
      <c r="J45" s="33"/>
    </row>
    <row r="46" spans="2:10" x14ac:dyDescent="0.25">
      <c r="B46" s="33"/>
      <c r="C46" s="32"/>
      <c r="D46" s="33"/>
      <c r="E46" s="33"/>
      <c r="F46" s="33"/>
      <c r="G46" s="33"/>
      <c r="H46" s="33"/>
      <c r="I46" s="33"/>
      <c r="J46" s="33"/>
    </row>
    <row r="47" spans="2:10" x14ac:dyDescent="0.25">
      <c r="B47" s="33"/>
      <c r="C47" s="32"/>
      <c r="D47" s="33"/>
      <c r="E47" s="33"/>
      <c r="F47" s="33"/>
      <c r="G47" s="33"/>
      <c r="H47" s="33"/>
      <c r="I47" s="33"/>
      <c r="J47" s="33"/>
    </row>
    <row r="48" spans="2:10" x14ac:dyDescent="0.25">
      <c r="B48" s="33"/>
      <c r="C48" s="32"/>
      <c r="D48" s="33"/>
      <c r="E48" s="33"/>
      <c r="F48" s="33"/>
      <c r="G48" s="33"/>
      <c r="H48" s="33"/>
      <c r="I48" s="33"/>
      <c r="J48" s="33"/>
    </row>
    <row r="49" spans="2:10" x14ac:dyDescent="0.25">
      <c r="B49" s="33"/>
      <c r="C49" s="32"/>
      <c r="D49" s="33"/>
      <c r="E49" s="33"/>
      <c r="F49" s="33"/>
      <c r="G49" s="33"/>
      <c r="H49" s="33"/>
      <c r="I49" s="33"/>
      <c r="J49" s="33"/>
    </row>
    <row r="50" spans="2:10" x14ac:dyDescent="0.25">
      <c r="B50" s="33"/>
      <c r="C50" s="32"/>
      <c r="D50" s="33"/>
      <c r="E50" s="33"/>
      <c r="F50" s="33"/>
      <c r="G50" s="33"/>
      <c r="H50" s="33"/>
      <c r="I50" s="33"/>
      <c r="J50" s="33"/>
    </row>
    <row r="51" spans="2:10" x14ac:dyDescent="0.25">
      <c r="B51" s="33"/>
      <c r="C51" s="32"/>
      <c r="D51" s="33"/>
      <c r="E51" s="33"/>
      <c r="F51" s="33"/>
      <c r="G51" s="33"/>
      <c r="H51" s="33"/>
      <c r="I51" s="33"/>
      <c r="J51" s="33"/>
    </row>
    <row r="52" spans="2:10" x14ac:dyDescent="0.25">
      <c r="B52" s="33"/>
      <c r="C52" s="32"/>
      <c r="D52" s="33"/>
      <c r="E52" s="33"/>
      <c r="F52" s="33"/>
      <c r="G52" s="33"/>
      <c r="H52" s="33"/>
      <c r="I52" s="33"/>
      <c r="J52" s="33"/>
    </row>
    <row r="53" spans="2:10" x14ac:dyDescent="0.25">
      <c r="B53" s="33"/>
      <c r="C53" s="33"/>
      <c r="D53" s="33"/>
      <c r="E53" s="33"/>
      <c r="F53" s="33"/>
      <c r="G53" s="33"/>
      <c r="H53" s="33"/>
      <c r="I53" s="33"/>
      <c r="J53" s="33"/>
    </row>
    <row r="54" spans="2:10" x14ac:dyDescent="0.25">
      <c r="B54" s="33"/>
      <c r="C54" s="33"/>
      <c r="D54" s="33"/>
      <c r="E54" s="33"/>
      <c r="F54" s="33"/>
      <c r="G54" s="33"/>
      <c r="H54" s="33"/>
      <c r="I54" s="33"/>
      <c r="J54" s="33"/>
    </row>
    <row r="55" spans="2:10" x14ac:dyDescent="0.25">
      <c r="B55" s="33"/>
      <c r="C55" s="33"/>
      <c r="D55" s="33"/>
      <c r="E55" s="33"/>
      <c r="F55" s="33"/>
      <c r="G55" s="33"/>
      <c r="H55" s="33"/>
      <c r="I55" s="33"/>
      <c r="J55" s="33"/>
    </row>
  </sheetData>
  <sheetProtection algorithmName="SHA-512" hashValue="mo1fq71IFVgTCHE2Kfjx4tiwd836koMbEl7/PjFeD10rKTlgjFl3zi91MvzOYXjqGPNv/KmruaS6y91ocdqu8w==" saltValue="i/IoZU1TkD6hy0r8XDOaAw==" spinCount="100000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0</xdr:col>
                <xdr:colOff>123825</xdr:colOff>
                <xdr:row>2</xdr:row>
                <xdr:rowOff>104775</xdr:rowOff>
              </from>
              <to>
                <xdr:col>1</xdr:col>
                <xdr:colOff>914400</xdr:colOff>
                <xdr:row>4</xdr:row>
                <xdr:rowOff>104775</xdr:rowOff>
              </to>
            </anchor>
          </controlPr>
        </control>
      </mc:Choice>
      <mc:Fallback>
        <control shapeId="10241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092C551E-1289-4FC7-AE2C-CD14293E9004}">
            <x14:iconSet iconSet="3Symbols" custom="1">
              <x14:cfvo type="percent">
                <xm:f>0</xm:f>
              </x14:cfvo>
              <x14:cfvo type="num">
                <xm:f>Key!$L$6</xm:f>
              </x14:cfvo>
              <x14:cfvo type="num" gte="0">
                <xm:f>Key!$L$6</xm:f>
              </x14:cfvo>
              <x14:cfIcon iconSet="3Symbols" iconId="0"/>
              <x14:cfIcon iconSet="3Symbols" iconId="2"/>
              <x14:cfIcon iconSet="3Symbols" iconId="0"/>
            </x14:iconSet>
          </x14:cfRule>
          <xm:sqref>E9:E18</xm:sqref>
        </x14:conditionalFormatting>
        <x14:conditionalFormatting xmlns:xm="http://schemas.microsoft.com/office/excel/2006/main">
          <x14:cfRule type="iconSet" priority="3" id="{AF18CD63-5EEE-4363-9302-88C3D9FE632C}">
            <x14:iconSet iconSet="3Symbols" custom="1">
              <x14:cfvo type="percent">
                <xm:f>0</xm:f>
              </x14:cfvo>
              <x14:cfvo type="num">
                <xm:f>Key!$L$6</xm:f>
              </x14:cfvo>
              <x14:cfvo type="num" gte="0">
                <xm:f>Key!$L$6</xm:f>
              </x14:cfvo>
              <x14:cfIcon iconSet="3Symbols" iconId="0"/>
              <x14:cfIcon iconSet="3Symbols" iconId="2"/>
              <x14:cfIcon iconSet="3Symbols" iconId="0"/>
            </x14:iconSet>
          </x14:cfRule>
          <xm:sqref>G22:G31</xm:sqref>
        </x14:conditionalFormatting>
        <x14:conditionalFormatting xmlns:xm="http://schemas.microsoft.com/office/excel/2006/main">
          <x14:cfRule type="iconSet" priority="2" id="{3BC01E46-5082-40DA-86E2-E379F99EFA2E}">
            <x14:iconSet iconSet="3Symbols" custom="1">
              <x14:cfvo type="percent">
                <xm:f>0</xm:f>
              </x14:cfvo>
              <x14:cfvo type="num">
                <xm:f>Key!$M$6</xm:f>
              </x14:cfvo>
              <x14:cfvo type="num" gte="0">
                <xm:f>Key!$M$6</xm:f>
              </x14:cfvo>
              <x14:cfIcon iconSet="3Symbols" iconId="0"/>
              <x14:cfIcon iconSet="3Symbols" iconId="2"/>
              <x14:cfIcon iconSet="3Symbols" iconId="0"/>
            </x14:iconSet>
          </x14:cfRule>
          <xm:sqref>I22:I31</xm:sqref>
        </x14:conditionalFormatting>
        <x14:conditionalFormatting xmlns:xm="http://schemas.microsoft.com/office/excel/2006/main">
          <x14:cfRule type="iconSet" priority="1" id="{E051F8F4-9C10-444C-AAC8-AD74500238B3}">
            <x14:iconSet iconSet="3Symbols" custom="1">
              <x14:cfvo type="percent">
                <xm:f>0</xm:f>
              </x14:cfvo>
              <x14:cfvo type="num">
                <xm:f>Key!$M$6</xm:f>
              </x14:cfvo>
              <x14:cfvo type="num" gte="0">
                <xm:f>Key!$L$6</xm:f>
              </x14:cfvo>
              <x14:cfIcon iconSet="3Symbols" iconId="0"/>
              <x14:cfIcon iconSet="3Symbols" iconId="2"/>
              <x14:cfIcon iconSet="3Symbols" iconId="0"/>
            </x14:iconSet>
          </x14:cfRule>
          <xm:sqref>E35:E38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55"/>
  <sheetViews>
    <sheetView workbookViewId="0">
      <selection activeCell="E78" sqref="E78"/>
    </sheetView>
  </sheetViews>
  <sheetFormatPr defaultRowHeight="15" x14ac:dyDescent="0.25"/>
  <cols>
    <col min="1" max="1" width="9.140625" style="25"/>
    <col min="2" max="3" width="17.140625" style="25" customWidth="1"/>
    <col min="4" max="4" width="20.28515625" style="25" bestFit="1" customWidth="1"/>
    <col min="5" max="6" width="17.140625" style="25" customWidth="1"/>
    <col min="7" max="7" width="9.140625" style="25"/>
    <col min="8" max="8" width="12.42578125" style="25" bestFit="1" customWidth="1"/>
    <col min="9" max="9" width="9.7109375" style="25" customWidth="1"/>
    <col min="10" max="11" width="11.28515625" style="25" customWidth="1"/>
    <col min="12" max="16384" width="9.140625" style="25"/>
  </cols>
  <sheetData>
    <row r="1" spans="1:13" s="24" customFormat="1" x14ac:dyDescent="0.25">
      <c r="A1" s="23" t="s">
        <v>175</v>
      </c>
    </row>
    <row r="2" spans="1:13" s="24" customFormat="1" x14ac:dyDescent="0.25"/>
    <row r="3" spans="1:13" s="58" customFormat="1" hidden="1" x14ac:dyDescent="0.25"/>
    <row r="4" spans="1:13" hidden="1" x14ac:dyDescent="0.25"/>
    <row r="5" spans="1:13" hidden="1" x14ac:dyDescent="0.25"/>
    <row r="6" spans="1:13" hidden="1" x14ac:dyDescent="0.25">
      <c r="B6" s="45"/>
      <c r="C6" s="36"/>
      <c r="D6" s="36"/>
      <c r="E6" s="36"/>
      <c r="F6" s="36"/>
      <c r="G6" s="36"/>
      <c r="H6" s="36"/>
      <c r="I6" s="36"/>
      <c r="J6" s="36"/>
      <c r="L6" s="25">
        <v>1</v>
      </c>
      <c r="M6" s="25">
        <v>1</v>
      </c>
    </row>
    <row r="7" spans="1:13" hidden="1" x14ac:dyDescent="0.25">
      <c r="B7" s="36"/>
      <c r="C7" s="63" t="s">
        <v>5</v>
      </c>
      <c r="D7" s="46"/>
      <c r="E7" s="46"/>
      <c r="F7" s="46"/>
      <c r="G7" s="36"/>
      <c r="H7" s="36" t="s">
        <v>173</v>
      </c>
      <c r="I7" s="36" t="s">
        <v>173</v>
      </c>
      <c r="J7" s="36" t="s">
        <v>174</v>
      </c>
      <c r="K7" s="36" t="s">
        <v>174</v>
      </c>
      <c r="L7" s="36" t="s">
        <v>176</v>
      </c>
      <c r="M7" s="36" t="s">
        <v>177</v>
      </c>
    </row>
    <row r="8" spans="1:13" hidden="1" x14ac:dyDescent="0.25">
      <c r="B8" s="45"/>
      <c r="C8" s="46" t="s">
        <v>165</v>
      </c>
      <c r="D8" s="46" t="s">
        <v>10</v>
      </c>
      <c r="E8" s="46" t="s">
        <v>166</v>
      </c>
      <c r="F8" s="46" t="s">
        <v>7</v>
      </c>
      <c r="G8" s="36"/>
      <c r="H8" s="36"/>
      <c r="I8" s="36"/>
      <c r="J8" s="36"/>
    </row>
    <row r="9" spans="1:13" hidden="1" x14ac:dyDescent="0.25">
      <c r="B9" s="45"/>
      <c r="C9" s="62">
        <v>1</v>
      </c>
      <c r="D9" s="64" t="s">
        <v>122</v>
      </c>
      <c r="E9" s="46" t="s">
        <v>167</v>
      </c>
      <c r="F9" s="46" t="s">
        <v>22</v>
      </c>
      <c r="G9" s="36"/>
      <c r="H9" s="36">
        <f>'Problem A'!J9</f>
        <v>0</v>
      </c>
      <c r="I9" s="36"/>
      <c r="J9" s="36" t="str">
        <f>IF(D9=H9,"CORRECT","WRONG")</f>
        <v>WRONG</v>
      </c>
      <c r="L9" s="25">
        <f>IF(J9="CORRECT",1,0)</f>
        <v>0</v>
      </c>
    </row>
    <row r="10" spans="1:13" hidden="1" x14ac:dyDescent="0.25">
      <c r="B10" s="45"/>
      <c r="C10" s="60">
        <v>2</v>
      </c>
      <c r="D10" s="65" t="s">
        <v>140</v>
      </c>
      <c r="E10" s="36" t="s">
        <v>167</v>
      </c>
      <c r="F10" s="36" t="s">
        <v>40</v>
      </c>
      <c r="G10" s="36"/>
      <c r="H10" s="36">
        <f>'Problem A'!J10</f>
        <v>0</v>
      </c>
      <c r="I10" s="36"/>
      <c r="J10" s="36" t="str">
        <f t="shared" ref="J10:J18" si="0">IF(D10=H10,"CORRECT","WRONG")</f>
        <v>WRONG</v>
      </c>
      <c r="L10" s="25">
        <f t="shared" ref="L10:L18" si="1">IF(J10="CORRECT",1,0)</f>
        <v>0</v>
      </c>
    </row>
    <row r="11" spans="1:13" hidden="1" x14ac:dyDescent="0.25">
      <c r="B11" s="45"/>
      <c r="C11" s="60">
        <v>3</v>
      </c>
      <c r="D11" s="65" t="s">
        <v>161</v>
      </c>
      <c r="E11" s="36" t="s">
        <v>168</v>
      </c>
      <c r="F11" s="36" t="s">
        <v>61</v>
      </c>
      <c r="G11" s="36"/>
      <c r="H11" s="36">
        <f>'Problem A'!J11</f>
        <v>0</v>
      </c>
      <c r="I11" s="36"/>
      <c r="J11" s="36" t="str">
        <f t="shared" si="0"/>
        <v>WRONG</v>
      </c>
      <c r="L11" s="25">
        <f t="shared" si="1"/>
        <v>0</v>
      </c>
    </row>
    <row r="12" spans="1:13" hidden="1" x14ac:dyDescent="0.25">
      <c r="B12" s="45"/>
      <c r="C12" s="60">
        <v>4</v>
      </c>
      <c r="D12" s="65" t="s">
        <v>137</v>
      </c>
      <c r="E12" s="36" t="s">
        <v>167</v>
      </c>
      <c r="F12" s="36" t="s">
        <v>37</v>
      </c>
      <c r="G12" s="36"/>
      <c r="H12" s="36">
        <f>'Problem A'!J12</f>
        <v>0</v>
      </c>
      <c r="I12" s="36"/>
      <c r="J12" s="36" t="str">
        <f t="shared" si="0"/>
        <v>WRONG</v>
      </c>
      <c r="L12" s="25">
        <f t="shared" si="1"/>
        <v>0</v>
      </c>
    </row>
    <row r="13" spans="1:13" hidden="1" x14ac:dyDescent="0.25">
      <c r="B13" s="36"/>
      <c r="C13" s="60">
        <v>5</v>
      </c>
      <c r="D13" s="65" t="s">
        <v>120</v>
      </c>
      <c r="E13" s="36" t="s">
        <v>167</v>
      </c>
      <c r="F13" s="36" t="s">
        <v>20</v>
      </c>
      <c r="G13" s="36"/>
      <c r="H13" s="36">
        <f>'Problem A'!J13</f>
        <v>0</v>
      </c>
      <c r="I13" s="36"/>
      <c r="J13" s="36" t="str">
        <f t="shared" si="0"/>
        <v>WRONG</v>
      </c>
      <c r="L13" s="25">
        <f t="shared" si="1"/>
        <v>0</v>
      </c>
    </row>
    <row r="14" spans="1:13" hidden="1" x14ac:dyDescent="0.25">
      <c r="B14" s="36"/>
      <c r="C14" s="60">
        <v>6</v>
      </c>
      <c r="D14" s="65" t="s">
        <v>144</v>
      </c>
      <c r="E14" s="36" t="s">
        <v>167</v>
      </c>
      <c r="F14" s="36" t="s">
        <v>44</v>
      </c>
      <c r="G14" s="36"/>
      <c r="H14" s="36">
        <f>'Problem A'!J14</f>
        <v>0</v>
      </c>
      <c r="I14" s="45"/>
      <c r="J14" s="36" t="str">
        <f t="shared" si="0"/>
        <v>WRONG</v>
      </c>
      <c r="L14" s="25">
        <f t="shared" si="1"/>
        <v>0</v>
      </c>
    </row>
    <row r="15" spans="1:13" hidden="1" x14ac:dyDescent="0.25">
      <c r="B15" s="36"/>
      <c r="C15" s="60">
        <v>7</v>
      </c>
      <c r="D15" s="65" t="s">
        <v>134</v>
      </c>
      <c r="E15" s="36" t="s">
        <v>167</v>
      </c>
      <c r="F15" s="36" t="s">
        <v>34</v>
      </c>
      <c r="G15" s="36"/>
      <c r="H15" s="36">
        <f>'Problem A'!J15</f>
        <v>0</v>
      </c>
      <c r="I15" s="36"/>
      <c r="J15" s="36" t="str">
        <f t="shared" si="0"/>
        <v>WRONG</v>
      </c>
      <c r="L15" s="25">
        <f t="shared" si="1"/>
        <v>0</v>
      </c>
    </row>
    <row r="16" spans="1:13" hidden="1" x14ac:dyDescent="0.25">
      <c r="B16" s="36"/>
      <c r="C16" s="60">
        <v>8</v>
      </c>
      <c r="D16" s="65" t="s">
        <v>151</v>
      </c>
      <c r="E16" s="36" t="s">
        <v>168</v>
      </c>
      <c r="F16" s="36" t="s">
        <v>51</v>
      </c>
      <c r="G16" s="36"/>
      <c r="H16" s="36">
        <f>'Problem A'!J16</f>
        <v>0</v>
      </c>
      <c r="I16" s="45"/>
      <c r="J16" s="36" t="str">
        <f t="shared" si="0"/>
        <v>WRONG</v>
      </c>
      <c r="L16" s="25">
        <f t="shared" si="1"/>
        <v>0</v>
      </c>
    </row>
    <row r="17" spans="2:13" hidden="1" x14ac:dyDescent="0.25">
      <c r="B17" s="36"/>
      <c r="C17" s="60">
        <v>9</v>
      </c>
      <c r="D17" s="65" t="s">
        <v>113</v>
      </c>
      <c r="E17" s="36" t="s">
        <v>167</v>
      </c>
      <c r="F17" s="36" t="s">
        <v>13</v>
      </c>
      <c r="G17" s="36"/>
      <c r="H17" s="36">
        <f>'Problem A'!J17</f>
        <v>0</v>
      </c>
      <c r="I17" s="61"/>
      <c r="J17" s="36" t="str">
        <f t="shared" si="0"/>
        <v>WRONG</v>
      </c>
      <c r="L17" s="25">
        <f t="shared" si="1"/>
        <v>0</v>
      </c>
    </row>
    <row r="18" spans="2:13" hidden="1" x14ac:dyDescent="0.25">
      <c r="B18" s="36"/>
      <c r="C18" s="60">
        <v>10</v>
      </c>
      <c r="D18" s="65" t="s">
        <v>143</v>
      </c>
      <c r="E18" s="36" t="s">
        <v>167</v>
      </c>
      <c r="F18" s="36" t="s">
        <v>43</v>
      </c>
      <c r="G18" s="36"/>
      <c r="H18" s="36">
        <f>'Problem A'!J18</f>
        <v>0</v>
      </c>
      <c r="I18" s="61"/>
      <c r="J18" s="36" t="str">
        <f t="shared" si="0"/>
        <v>WRONG</v>
      </c>
      <c r="L18" s="25">
        <f t="shared" si="1"/>
        <v>0</v>
      </c>
    </row>
    <row r="19" spans="2:13" hidden="1" x14ac:dyDescent="0.25">
      <c r="B19" s="36"/>
      <c r="C19" s="60"/>
      <c r="D19" s="36"/>
      <c r="E19" s="36"/>
      <c r="F19" s="36"/>
      <c r="G19" s="36"/>
      <c r="H19" s="36"/>
      <c r="I19" s="61"/>
      <c r="J19" s="22"/>
    </row>
    <row r="20" spans="2:13" hidden="1" x14ac:dyDescent="0.25">
      <c r="B20" s="36"/>
      <c r="C20" s="63" t="s">
        <v>169</v>
      </c>
      <c r="D20" s="36"/>
      <c r="E20" s="36"/>
      <c r="F20" s="36"/>
      <c r="G20" s="36"/>
      <c r="H20" s="36"/>
      <c r="I20" s="61"/>
      <c r="J20" s="22"/>
    </row>
    <row r="21" spans="2:13" hidden="1" x14ac:dyDescent="0.25">
      <c r="B21" s="36"/>
      <c r="C21" s="32" t="s">
        <v>165</v>
      </c>
      <c r="D21" s="33" t="s">
        <v>7</v>
      </c>
      <c r="E21" s="33" t="s">
        <v>10</v>
      </c>
      <c r="F21" s="33" t="s">
        <v>11</v>
      </c>
      <c r="G21" s="36"/>
      <c r="H21" s="36"/>
      <c r="I21" s="36"/>
      <c r="J21" s="36"/>
    </row>
    <row r="22" spans="2:13" hidden="1" x14ac:dyDescent="0.25">
      <c r="B22" s="36"/>
      <c r="C22" s="32">
        <v>1</v>
      </c>
      <c r="D22" s="33" t="s">
        <v>22</v>
      </c>
      <c r="E22" s="65" t="s">
        <v>122</v>
      </c>
      <c r="F22" s="65" t="s">
        <v>162</v>
      </c>
      <c r="G22" s="36"/>
      <c r="H22" s="36">
        <f>'Problem B'!K9</f>
        <v>0</v>
      </c>
      <c r="I22" s="36">
        <f>'Problem B'!L9</f>
        <v>0</v>
      </c>
      <c r="J22" s="36" t="str">
        <f>IFERROR(IF(E22=H22,"CORRECT","WRONG"),"WRONG")</f>
        <v>WRONG</v>
      </c>
      <c r="K22" s="36" t="str">
        <f>IFERROR(IF(F22=I22,"CORRECT","WRONG"),"WRONG")</f>
        <v>WRONG</v>
      </c>
      <c r="L22" s="25">
        <f t="shared" ref="L22:L31" si="2">IF(J22="CORRECT",1,0)</f>
        <v>0</v>
      </c>
      <c r="M22" s="25">
        <f>IF(K22="CORRECT",1,0)</f>
        <v>0</v>
      </c>
    </row>
    <row r="23" spans="2:13" hidden="1" x14ac:dyDescent="0.25">
      <c r="B23" s="36"/>
      <c r="C23" s="32">
        <v>2</v>
      </c>
      <c r="D23" s="33" t="s">
        <v>40</v>
      </c>
      <c r="E23" s="65" t="s">
        <v>140</v>
      </c>
      <c r="F23" s="65" t="s">
        <v>162</v>
      </c>
      <c r="G23" s="36"/>
      <c r="H23" s="36">
        <f>'Problem B'!K10</f>
        <v>0</v>
      </c>
      <c r="I23" s="36">
        <f>'Problem B'!L10</f>
        <v>0</v>
      </c>
      <c r="J23" s="36" t="str">
        <f t="shared" ref="J23:J31" si="3">IFERROR(IF(E23=H23,"CORRECT","WRONG"),"WRONG")</f>
        <v>WRONG</v>
      </c>
      <c r="K23" s="36" t="str">
        <f t="shared" ref="K23:K31" si="4">IFERROR(IF(F23=I23,"CORRECT","WRONG"),"WRONG")</f>
        <v>WRONG</v>
      </c>
      <c r="L23" s="25">
        <f t="shared" si="2"/>
        <v>0</v>
      </c>
      <c r="M23" s="25">
        <f t="shared" ref="M23:M31" si="5">IF(K23="CORRECT",1,0)</f>
        <v>0</v>
      </c>
    </row>
    <row r="24" spans="2:13" hidden="1" x14ac:dyDescent="0.25">
      <c r="B24" s="33"/>
      <c r="C24" s="32">
        <v>3</v>
      </c>
      <c r="D24" s="33" t="s">
        <v>18</v>
      </c>
      <c r="E24" s="65" t="s">
        <v>118</v>
      </c>
      <c r="F24" s="65" t="s">
        <v>163</v>
      </c>
      <c r="G24" s="33"/>
      <c r="H24" s="36">
        <f>'Problem B'!K11</f>
        <v>0</v>
      </c>
      <c r="I24" s="36">
        <f>'Problem B'!L11</f>
        <v>0</v>
      </c>
      <c r="J24" s="36" t="str">
        <f t="shared" si="3"/>
        <v>WRONG</v>
      </c>
      <c r="K24" s="36" t="str">
        <f t="shared" si="4"/>
        <v>WRONG</v>
      </c>
      <c r="L24" s="25">
        <f t="shared" si="2"/>
        <v>0</v>
      </c>
      <c r="M24" s="25">
        <f t="shared" si="5"/>
        <v>0</v>
      </c>
    </row>
    <row r="25" spans="2:13" hidden="1" x14ac:dyDescent="0.25">
      <c r="B25" s="33"/>
      <c r="C25" s="32">
        <v>4</v>
      </c>
      <c r="D25" s="33" t="s">
        <v>37</v>
      </c>
      <c r="E25" s="65" t="s">
        <v>137</v>
      </c>
      <c r="F25" s="65" t="s">
        <v>162</v>
      </c>
      <c r="G25" s="33"/>
      <c r="H25" s="36">
        <f>'Problem B'!K12</f>
        <v>0</v>
      </c>
      <c r="I25" s="36">
        <f>'Problem B'!L12</f>
        <v>0</v>
      </c>
      <c r="J25" s="36" t="str">
        <f t="shared" si="3"/>
        <v>WRONG</v>
      </c>
      <c r="K25" s="36" t="str">
        <f t="shared" si="4"/>
        <v>WRONG</v>
      </c>
      <c r="L25" s="25">
        <f t="shared" si="2"/>
        <v>0</v>
      </c>
      <c r="M25" s="25">
        <f t="shared" si="5"/>
        <v>0</v>
      </c>
    </row>
    <row r="26" spans="2:13" hidden="1" x14ac:dyDescent="0.25">
      <c r="B26" s="33"/>
      <c r="C26" s="32">
        <v>5</v>
      </c>
      <c r="D26" s="33" t="s">
        <v>20</v>
      </c>
      <c r="E26" s="65" t="s">
        <v>120</v>
      </c>
      <c r="F26" s="65" t="s">
        <v>162</v>
      </c>
      <c r="G26" s="33"/>
      <c r="H26" s="36">
        <f>'Problem B'!K13</f>
        <v>0</v>
      </c>
      <c r="I26" s="36">
        <f>'Problem B'!L13</f>
        <v>0</v>
      </c>
      <c r="J26" s="36" t="str">
        <f t="shared" si="3"/>
        <v>WRONG</v>
      </c>
      <c r="K26" s="36" t="str">
        <f t="shared" si="4"/>
        <v>WRONG</v>
      </c>
      <c r="L26" s="25">
        <f t="shared" si="2"/>
        <v>0</v>
      </c>
      <c r="M26" s="25">
        <f t="shared" si="5"/>
        <v>0</v>
      </c>
    </row>
    <row r="27" spans="2:13" hidden="1" x14ac:dyDescent="0.25">
      <c r="B27" s="33"/>
      <c r="C27" s="32">
        <v>6</v>
      </c>
      <c r="D27" s="33" t="s">
        <v>44</v>
      </c>
      <c r="E27" s="65" t="s">
        <v>144</v>
      </c>
      <c r="F27" s="65" t="s">
        <v>162</v>
      </c>
      <c r="G27" s="33"/>
      <c r="H27" s="36">
        <f>'Problem B'!K14</f>
        <v>0</v>
      </c>
      <c r="I27" s="36">
        <f>'Problem B'!L14</f>
        <v>0</v>
      </c>
      <c r="J27" s="36" t="str">
        <f t="shared" si="3"/>
        <v>WRONG</v>
      </c>
      <c r="K27" s="36" t="str">
        <f t="shared" si="4"/>
        <v>WRONG</v>
      </c>
      <c r="L27" s="25">
        <f t="shared" si="2"/>
        <v>0</v>
      </c>
      <c r="M27" s="25">
        <f t="shared" si="5"/>
        <v>0</v>
      </c>
    </row>
    <row r="28" spans="2:13" hidden="1" x14ac:dyDescent="0.25">
      <c r="B28" s="33"/>
      <c r="C28" s="32">
        <v>7</v>
      </c>
      <c r="D28" s="33" t="s">
        <v>34</v>
      </c>
      <c r="E28" s="65" t="s">
        <v>134</v>
      </c>
      <c r="F28" s="65" t="s">
        <v>162</v>
      </c>
      <c r="G28" s="33"/>
      <c r="H28" s="36">
        <f>'Problem B'!K15</f>
        <v>0</v>
      </c>
      <c r="I28" s="36">
        <f>'Problem B'!L15</f>
        <v>0</v>
      </c>
      <c r="J28" s="36" t="str">
        <f t="shared" si="3"/>
        <v>WRONG</v>
      </c>
      <c r="K28" s="36" t="str">
        <f t="shared" si="4"/>
        <v>WRONG</v>
      </c>
      <c r="L28" s="25">
        <f t="shared" si="2"/>
        <v>0</v>
      </c>
      <c r="M28" s="25">
        <f t="shared" si="5"/>
        <v>0</v>
      </c>
    </row>
    <row r="29" spans="2:13" hidden="1" x14ac:dyDescent="0.25">
      <c r="B29" s="33"/>
      <c r="C29" s="32">
        <v>8</v>
      </c>
      <c r="D29" s="33" t="s">
        <v>51</v>
      </c>
      <c r="E29" s="65" t="s">
        <v>151</v>
      </c>
      <c r="F29" s="65" t="s">
        <v>162</v>
      </c>
      <c r="G29" s="33"/>
      <c r="H29" s="36">
        <f>'Problem B'!K16</f>
        <v>0</v>
      </c>
      <c r="I29" s="36">
        <f>'Problem B'!L16</f>
        <v>0</v>
      </c>
      <c r="J29" s="36" t="str">
        <f t="shared" si="3"/>
        <v>WRONG</v>
      </c>
      <c r="K29" s="36" t="str">
        <f t="shared" si="4"/>
        <v>WRONG</v>
      </c>
      <c r="L29" s="25">
        <f t="shared" si="2"/>
        <v>0</v>
      </c>
      <c r="M29" s="25">
        <f t="shared" si="5"/>
        <v>0</v>
      </c>
    </row>
    <row r="30" spans="2:13" hidden="1" x14ac:dyDescent="0.25">
      <c r="B30" s="33"/>
      <c r="C30" s="32">
        <v>9</v>
      </c>
      <c r="D30" s="33" t="s">
        <v>13</v>
      </c>
      <c r="E30" s="65" t="s">
        <v>113</v>
      </c>
      <c r="F30" s="65" t="s">
        <v>162</v>
      </c>
      <c r="G30" s="33"/>
      <c r="H30" s="36">
        <f>'Problem B'!K17</f>
        <v>0</v>
      </c>
      <c r="I30" s="36">
        <f>'Problem B'!L17</f>
        <v>0</v>
      </c>
      <c r="J30" s="36" t="str">
        <f t="shared" si="3"/>
        <v>WRONG</v>
      </c>
      <c r="K30" s="36" t="str">
        <f t="shared" si="4"/>
        <v>WRONG</v>
      </c>
      <c r="L30" s="25">
        <f t="shared" si="2"/>
        <v>0</v>
      </c>
      <c r="M30" s="25">
        <f t="shared" si="5"/>
        <v>0</v>
      </c>
    </row>
    <row r="31" spans="2:13" hidden="1" x14ac:dyDescent="0.25">
      <c r="B31" s="33"/>
      <c r="C31" s="32">
        <v>10</v>
      </c>
      <c r="D31" s="33" t="s">
        <v>43</v>
      </c>
      <c r="E31" s="65" t="s">
        <v>143</v>
      </c>
      <c r="F31" s="65" t="s">
        <v>162</v>
      </c>
      <c r="G31" s="33"/>
      <c r="H31" s="36">
        <f>'Problem B'!K18</f>
        <v>0</v>
      </c>
      <c r="I31" s="36">
        <f>'Problem B'!L18</f>
        <v>0</v>
      </c>
      <c r="J31" s="36" t="str">
        <f t="shared" si="3"/>
        <v>WRONG</v>
      </c>
      <c r="K31" s="36" t="str">
        <f t="shared" si="4"/>
        <v>WRONG</v>
      </c>
      <c r="L31" s="25">
        <f t="shared" si="2"/>
        <v>0</v>
      </c>
      <c r="M31" s="25">
        <f t="shared" si="5"/>
        <v>0</v>
      </c>
    </row>
    <row r="32" spans="2:13" hidden="1" x14ac:dyDescent="0.25">
      <c r="B32" s="33"/>
      <c r="G32" s="33"/>
      <c r="I32" s="36"/>
    </row>
    <row r="33" spans="2:12" hidden="1" x14ac:dyDescent="0.25">
      <c r="B33" s="33"/>
      <c r="C33" s="26" t="s">
        <v>172</v>
      </c>
      <c r="G33" s="33"/>
    </row>
    <row r="34" spans="2:12" hidden="1" x14ac:dyDescent="0.25">
      <c r="B34" s="33"/>
      <c r="C34" s="25" t="s">
        <v>10</v>
      </c>
      <c r="D34" s="25" t="s">
        <v>7</v>
      </c>
      <c r="G34" s="33"/>
    </row>
    <row r="35" spans="2:12" hidden="1" x14ac:dyDescent="0.25">
      <c r="B35" s="33"/>
      <c r="C35" s="32" t="s">
        <v>113</v>
      </c>
      <c r="D35" s="65" t="s">
        <v>13</v>
      </c>
      <c r="E35" s="33"/>
      <c r="F35" s="33"/>
      <c r="G35" s="33"/>
      <c r="H35" s="25">
        <f>'Problem C XC'!J17</f>
        <v>0</v>
      </c>
      <c r="J35" s="36" t="str">
        <f>IF(D35=H35,"CORRECT","WRONG")</f>
        <v>WRONG</v>
      </c>
      <c r="L35" s="25">
        <f t="shared" ref="L35:L38" si="6">IF(J35="CORRECT",1,0)</f>
        <v>0</v>
      </c>
    </row>
    <row r="36" spans="2:12" hidden="1" x14ac:dyDescent="0.25">
      <c r="B36" s="33"/>
      <c r="C36" s="32" t="s">
        <v>120</v>
      </c>
      <c r="D36" s="65" t="s">
        <v>29</v>
      </c>
      <c r="E36" s="33"/>
      <c r="F36" s="33"/>
      <c r="G36" s="33"/>
      <c r="H36" s="25">
        <f>'Problem C XC'!J18</f>
        <v>0</v>
      </c>
      <c r="J36" s="36" t="str">
        <f t="shared" ref="J36:J38" si="7">IF(D36=H36,"CORRECT","WRONG")</f>
        <v>WRONG</v>
      </c>
      <c r="L36" s="25">
        <f t="shared" si="6"/>
        <v>0</v>
      </c>
    </row>
    <row r="37" spans="2:12" hidden="1" x14ac:dyDescent="0.25">
      <c r="B37" s="33"/>
      <c r="C37" s="32" t="s">
        <v>115</v>
      </c>
      <c r="D37" s="65" t="s">
        <v>18</v>
      </c>
      <c r="E37" s="33"/>
      <c r="F37" s="33"/>
      <c r="G37" s="33"/>
      <c r="H37" s="25">
        <f>'Problem C XC'!J19</f>
        <v>0</v>
      </c>
      <c r="J37" s="36" t="str">
        <f t="shared" si="7"/>
        <v>WRONG</v>
      </c>
      <c r="L37" s="25">
        <f t="shared" si="6"/>
        <v>0</v>
      </c>
    </row>
    <row r="38" spans="2:12" hidden="1" x14ac:dyDescent="0.25">
      <c r="B38" s="33"/>
      <c r="C38" s="32" t="s">
        <v>112</v>
      </c>
      <c r="D38" s="65" t="s">
        <v>14</v>
      </c>
      <c r="E38" s="33"/>
      <c r="F38" s="33"/>
      <c r="G38" s="33"/>
      <c r="H38" s="25">
        <f>'Problem C XC'!J20</f>
        <v>0</v>
      </c>
      <c r="J38" s="36" t="str">
        <f t="shared" si="7"/>
        <v>WRONG</v>
      </c>
      <c r="L38" s="25">
        <f t="shared" si="6"/>
        <v>0</v>
      </c>
    </row>
    <row r="39" spans="2:12" hidden="1" x14ac:dyDescent="0.25">
      <c r="B39" s="33"/>
      <c r="C39" s="32"/>
      <c r="D39" s="33"/>
      <c r="E39" s="33"/>
      <c r="F39" s="33"/>
      <c r="G39" s="33"/>
    </row>
    <row r="40" spans="2:12" x14ac:dyDescent="0.25">
      <c r="B40" s="33"/>
      <c r="C40" s="32"/>
      <c r="D40" s="33"/>
      <c r="E40" s="33"/>
      <c r="F40" s="33"/>
      <c r="G40" s="33"/>
    </row>
    <row r="41" spans="2:12" x14ac:dyDescent="0.25">
      <c r="B41" s="33"/>
      <c r="C41" s="32"/>
      <c r="D41" s="33"/>
      <c r="E41" s="33"/>
      <c r="F41" s="33"/>
      <c r="G41" s="33"/>
    </row>
    <row r="42" spans="2:12" x14ac:dyDescent="0.25">
      <c r="B42" s="33"/>
      <c r="C42" s="32"/>
      <c r="D42" s="33"/>
      <c r="E42" s="33"/>
      <c r="F42" s="33"/>
      <c r="G42" s="33"/>
    </row>
    <row r="43" spans="2:12" x14ac:dyDescent="0.25">
      <c r="B43" s="33"/>
      <c r="C43" s="32"/>
      <c r="D43" s="33"/>
      <c r="E43" s="33"/>
      <c r="F43" s="33"/>
      <c r="G43" s="33"/>
    </row>
    <row r="44" spans="2:12" x14ac:dyDescent="0.25">
      <c r="B44" s="33"/>
      <c r="C44" s="32"/>
      <c r="D44" s="33"/>
      <c r="E44" s="33"/>
      <c r="F44" s="33"/>
      <c r="G44" s="33"/>
    </row>
    <row r="45" spans="2:12" x14ac:dyDescent="0.25">
      <c r="B45" s="33"/>
      <c r="C45" s="32"/>
      <c r="D45" s="33"/>
      <c r="E45" s="33"/>
      <c r="F45" s="33"/>
      <c r="G45" s="33"/>
    </row>
    <row r="46" spans="2:12" x14ac:dyDescent="0.25">
      <c r="B46" s="33"/>
      <c r="C46" s="32"/>
      <c r="D46" s="33"/>
      <c r="E46" s="33"/>
      <c r="F46" s="33"/>
      <c r="G46" s="33"/>
    </row>
    <row r="47" spans="2:12" x14ac:dyDescent="0.25">
      <c r="B47" s="33"/>
      <c r="C47" s="32"/>
      <c r="D47" s="33"/>
      <c r="E47" s="33"/>
      <c r="F47" s="33"/>
      <c r="G47" s="33"/>
    </row>
    <row r="48" spans="2:12" x14ac:dyDescent="0.25">
      <c r="B48" s="33"/>
      <c r="C48" s="32"/>
      <c r="D48" s="33"/>
      <c r="E48" s="33"/>
      <c r="F48" s="33"/>
      <c r="G48" s="33"/>
    </row>
    <row r="49" spans="2:7" x14ac:dyDescent="0.25">
      <c r="B49" s="33"/>
      <c r="C49" s="32"/>
      <c r="D49" s="33"/>
      <c r="E49" s="33"/>
      <c r="F49" s="33"/>
      <c r="G49" s="33"/>
    </row>
    <row r="50" spans="2:7" x14ac:dyDescent="0.25">
      <c r="B50" s="33"/>
      <c r="C50" s="32"/>
      <c r="D50" s="33"/>
      <c r="E50" s="33"/>
      <c r="F50" s="33"/>
      <c r="G50" s="33"/>
    </row>
    <row r="51" spans="2:7" x14ac:dyDescent="0.25">
      <c r="B51" s="33"/>
      <c r="C51" s="32"/>
      <c r="D51" s="33"/>
      <c r="E51" s="33"/>
      <c r="F51" s="33"/>
      <c r="G51" s="33"/>
    </row>
    <row r="52" spans="2:7" x14ac:dyDescent="0.25">
      <c r="B52" s="33"/>
      <c r="C52" s="32"/>
      <c r="D52" s="33"/>
      <c r="E52" s="33"/>
      <c r="F52" s="33"/>
      <c r="G52" s="33"/>
    </row>
    <row r="53" spans="2:7" x14ac:dyDescent="0.25">
      <c r="B53" s="33"/>
      <c r="C53" s="33"/>
      <c r="D53" s="33"/>
      <c r="E53" s="33"/>
      <c r="F53" s="33"/>
      <c r="G53" s="33"/>
    </row>
    <row r="54" spans="2:7" x14ac:dyDescent="0.25">
      <c r="B54" s="33"/>
      <c r="C54" s="33"/>
      <c r="D54" s="33"/>
      <c r="E54" s="33"/>
      <c r="F54" s="33"/>
      <c r="G54" s="33"/>
    </row>
    <row r="55" spans="2:7" x14ac:dyDescent="0.25">
      <c r="B55" s="33"/>
      <c r="C55" s="33"/>
      <c r="D55" s="33"/>
      <c r="E55" s="33"/>
      <c r="F55" s="33"/>
      <c r="G55" s="33"/>
    </row>
  </sheetData>
  <sheetProtection algorithmName="SHA-512" hashValue="cQBWa2ntbDZkV0mK8k8AQcozZcib6aQaEVIInOI5inr5t3Kliydqel22ESB/oNXTOvXVrOrn8lWWIIpE+2yt6w==" saltValue="L5VETeZMZeuxAgSoPPAp5Q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Using VLOOKUP</vt:lpstr>
      <vt:lpstr>Exam Instructions</vt:lpstr>
      <vt:lpstr>Problem A</vt:lpstr>
      <vt:lpstr>Problem B</vt:lpstr>
      <vt:lpstr>Problem C XC</vt:lpstr>
      <vt:lpstr>Grading</vt:lpstr>
      <vt:lpstr>Key</vt:lpstr>
    </vt:vector>
  </TitlesOfParts>
  <Company>Astronics EAU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Enser, Nicholas</dc:creator>
  <cp:lastModifiedBy>Enser, Nicholas</cp:lastModifiedBy>
  <dcterms:created xsi:type="dcterms:W3CDTF">2019-07-31T17:00:09Z</dcterms:created>
  <dcterms:modified xsi:type="dcterms:W3CDTF">2019-08-01T14:08:59Z</dcterms:modified>
</cp:coreProperties>
</file>